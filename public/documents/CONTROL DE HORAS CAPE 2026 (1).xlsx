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8_{CF558952-F0EF-4188-B4F5-B35D27E2D028}" xr6:coauthVersionLast="47" xr6:coauthVersionMax="47" xr10:uidLastSave="{00000000-0000-0000-0000-000000000000}"/>
  <bookViews>
    <workbookView xWindow="-108" yWindow="-108" windowWidth="23256" windowHeight="12456" xr2:uid="{0AC856EA-78BB-4EFE-B0DB-E226F5E54921}"/>
  </bookViews>
  <sheets>
    <sheet name="Hoja1" sheetId="1" r:id="rId1"/>
  </sheets>
  <definedNames>
    <definedName name="_xlnm._FilterDatabase" localSheetId="0" hidden="1">Hoja1!$A$2:$CD$114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6" i="1" l="1"/>
  <c r="AM15" i="1"/>
  <c r="AM10" i="1"/>
  <c r="AM9" i="1"/>
  <c r="AM26" i="1"/>
  <c r="AY107" i="1"/>
  <c r="AZ107" i="1" s="1"/>
  <c r="AS107" i="1"/>
  <c r="AT107" i="1" s="1"/>
  <c r="AU107" i="1" s="1"/>
  <c r="AM107" i="1"/>
  <c r="AG107" i="1"/>
  <c r="AH107" i="1" s="1"/>
  <c r="AA107" i="1"/>
  <c r="AB107" i="1" s="1"/>
  <c r="U107" i="1"/>
  <c r="V107" i="1" s="1"/>
  <c r="O107" i="1"/>
  <c r="P107" i="1" s="1"/>
  <c r="Q107" i="1" s="1"/>
  <c r="W107" i="1" s="1"/>
  <c r="AC107" i="1" s="1"/>
  <c r="AI107" i="1" s="1"/>
  <c r="AY106" i="1"/>
  <c r="AZ106" i="1" s="1"/>
  <c r="AT106" i="1"/>
  <c r="AU106" i="1" s="1"/>
  <c r="AM106" i="1"/>
  <c r="AG106" i="1"/>
  <c r="AH106" i="1" s="1"/>
  <c r="AA106" i="1"/>
  <c r="AB106" i="1" s="1"/>
  <c r="U106" i="1"/>
  <c r="V106" i="1" s="1"/>
  <c r="O106" i="1"/>
  <c r="P106" i="1" s="1"/>
  <c r="Q106" i="1" s="1"/>
  <c r="W106" i="1" s="1"/>
  <c r="AC106" i="1" s="1"/>
  <c r="AI106" i="1" s="1"/>
  <c r="AO106" i="1" s="1"/>
  <c r="BA106" i="1" s="1"/>
  <c r="AY44" i="1"/>
  <c r="AZ44" i="1" s="1"/>
  <c r="AS44" i="1"/>
  <c r="AT44" i="1" s="1"/>
  <c r="AM44" i="1"/>
  <c r="AN44" i="1" s="1"/>
  <c r="AG44" i="1"/>
  <c r="AH44" i="1" s="1"/>
  <c r="AA44" i="1"/>
  <c r="AB44" i="1" s="1"/>
  <c r="U44" i="1"/>
  <c r="V44" i="1" s="1"/>
  <c r="O44" i="1"/>
  <c r="P44" i="1" s="1"/>
  <c r="J44" i="1"/>
  <c r="K44" i="1" s="1"/>
  <c r="Q44" i="1" s="1"/>
  <c r="W44" i="1" s="1"/>
  <c r="AC44" i="1" s="1"/>
  <c r="AI44" i="1" s="1"/>
  <c r="AO44" i="1" s="1"/>
  <c r="AU44" i="1" s="1"/>
  <c r="BA44" i="1" s="1"/>
  <c r="F44" i="1"/>
  <c r="AY45" i="1"/>
  <c r="AZ45" i="1" s="1"/>
  <c r="AS45" i="1"/>
  <c r="AT45" i="1" s="1"/>
  <c r="AM45" i="1"/>
  <c r="AN45" i="1" s="1"/>
  <c r="AG45" i="1"/>
  <c r="AH45" i="1" s="1"/>
  <c r="AA45" i="1"/>
  <c r="AB45" i="1" s="1"/>
  <c r="U45" i="1"/>
  <c r="V45" i="1" s="1"/>
  <c r="O45" i="1"/>
  <c r="P45" i="1" s="1"/>
  <c r="J45" i="1"/>
  <c r="K45" i="1" s="1"/>
  <c r="Q45" i="1" s="1"/>
  <c r="W45" i="1" s="1"/>
  <c r="AC45" i="1" s="1"/>
  <c r="AI45" i="1" s="1"/>
  <c r="AO45" i="1" s="1"/>
  <c r="AU45" i="1" s="1"/>
  <c r="BA45" i="1" s="1"/>
  <c r="F45" i="1"/>
  <c r="AS3" i="1"/>
  <c r="AS4" i="1"/>
  <c r="AS5" i="1"/>
  <c r="AS6" i="1"/>
  <c r="AY15" i="1"/>
  <c r="AZ15" i="1" s="1"/>
  <c r="AS15" i="1"/>
  <c r="AT15" i="1" s="1"/>
  <c r="AN15" i="1"/>
  <c r="AG15" i="1"/>
  <c r="AH15" i="1" s="1"/>
  <c r="AA15" i="1"/>
  <c r="AB15" i="1" s="1"/>
  <c r="U15" i="1"/>
  <c r="V15" i="1" s="1"/>
  <c r="O15" i="1"/>
  <c r="P15" i="1" s="1"/>
  <c r="J15" i="1"/>
  <c r="K15" i="1" s="1"/>
  <c r="Q15" i="1" s="1"/>
  <c r="W15" i="1" s="1"/>
  <c r="AC15" i="1" s="1"/>
  <c r="AI15" i="1" s="1"/>
  <c r="AO15" i="1" s="1"/>
  <c r="AU15" i="1" s="1"/>
  <c r="BA15" i="1" s="1"/>
  <c r="F15" i="1"/>
  <c r="AG62" i="1"/>
  <c r="AY90" i="1"/>
  <c r="AZ90" i="1" s="1"/>
  <c r="AS90" i="1"/>
  <c r="AT90" i="1" s="1"/>
  <c r="AG90" i="1"/>
  <c r="AH90" i="1" s="1"/>
  <c r="AA90" i="1"/>
  <c r="AB90" i="1" s="1"/>
  <c r="U90" i="1"/>
  <c r="V90" i="1" s="1"/>
  <c r="O90" i="1"/>
  <c r="P90" i="1" s="1"/>
  <c r="J90" i="1"/>
  <c r="K90" i="1" s="1"/>
  <c r="Q90" i="1" s="1"/>
  <c r="W90" i="1" s="1"/>
  <c r="AC90" i="1" s="1"/>
  <c r="AI90" i="1" s="1"/>
  <c r="AU90" i="1" s="1"/>
  <c r="BA90" i="1" s="1"/>
  <c r="F90" i="1"/>
  <c r="AY4" i="1"/>
  <c r="AZ4" i="1"/>
  <c r="AY5" i="1"/>
  <c r="AZ5" i="1"/>
  <c r="AY6" i="1"/>
  <c r="AZ6" i="1"/>
  <c r="AY7" i="1"/>
  <c r="AZ7" i="1"/>
  <c r="AY8" i="1"/>
  <c r="AZ8" i="1"/>
  <c r="AY9" i="1"/>
  <c r="AZ9" i="1"/>
  <c r="AY10" i="1"/>
  <c r="AZ10" i="1"/>
  <c r="AY11" i="1"/>
  <c r="AZ11" i="1"/>
  <c r="AY12" i="1"/>
  <c r="AZ12" i="1"/>
  <c r="AY13" i="1"/>
  <c r="AZ13" i="1"/>
  <c r="AY14" i="1"/>
  <c r="AZ14" i="1"/>
  <c r="AY16" i="1"/>
  <c r="AZ16" i="1"/>
  <c r="AY17" i="1"/>
  <c r="AZ17" i="1"/>
  <c r="AY18" i="1"/>
  <c r="AZ18" i="1"/>
  <c r="AY19" i="1"/>
  <c r="AZ19" i="1"/>
  <c r="AY20" i="1"/>
  <c r="AZ20" i="1"/>
  <c r="AY21" i="1"/>
  <c r="AZ21" i="1"/>
  <c r="AY22" i="1"/>
  <c r="AZ22" i="1"/>
  <c r="AY23" i="1"/>
  <c r="AZ23" i="1"/>
  <c r="AY24" i="1"/>
  <c r="AZ24" i="1"/>
  <c r="AY25" i="1"/>
  <c r="AZ25" i="1"/>
  <c r="AY26" i="1"/>
  <c r="AZ26" i="1"/>
  <c r="AY27" i="1"/>
  <c r="AZ27" i="1"/>
  <c r="AY28" i="1"/>
  <c r="AZ28" i="1"/>
  <c r="AY29" i="1"/>
  <c r="AZ29" i="1"/>
  <c r="AY30" i="1"/>
  <c r="AZ30" i="1"/>
  <c r="AY31" i="1"/>
  <c r="AZ31" i="1"/>
  <c r="AY32" i="1"/>
  <c r="AZ32" i="1"/>
  <c r="AY33" i="1"/>
  <c r="AZ33" i="1"/>
  <c r="AY34" i="1"/>
  <c r="AZ34" i="1"/>
  <c r="AY35" i="1"/>
  <c r="AZ35" i="1"/>
  <c r="AY36" i="1"/>
  <c r="AZ36" i="1"/>
  <c r="AY37" i="1"/>
  <c r="AZ37" i="1"/>
  <c r="AY38" i="1"/>
  <c r="AZ38" i="1"/>
  <c r="AY39" i="1"/>
  <c r="AZ39" i="1"/>
  <c r="AY40" i="1"/>
  <c r="AZ40" i="1"/>
  <c r="AY41" i="1"/>
  <c r="AZ41" i="1"/>
  <c r="AY42" i="1"/>
  <c r="AZ42" i="1"/>
  <c r="AY43" i="1"/>
  <c r="AZ43" i="1"/>
  <c r="AY46" i="1"/>
  <c r="AZ46" i="1"/>
  <c r="AY47" i="1"/>
  <c r="AZ47" i="1"/>
  <c r="AY48" i="1"/>
  <c r="AZ48" i="1"/>
  <c r="AY49" i="1"/>
  <c r="AZ49" i="1"/>
  <c r="AY50" i="1"/>
  <c r="AZ50" i="1"/>
  <c r="AY51" i="1"/>
  <c r="AZ51" i="1"/>
  <c r="AY52" i="1"/>
  <c r="AZ52" i="1"/>
  <c r="AY53" i="1"/>
  <c r="AZ53" i="1"/>
  <c r="AY57" i="1"/>
  <c r="AZ57" i="1"/>
  <c r="AY58" i="1"/>
  <c r="AZ58" i="1"/>
  <c r="AY59" i="1"/>
  <c r="AZ59" i="1"/>
  <c r="AY60" i="1"/>
  <c r="AZ60" i="1"/>
  <c r="AY61" i="1"/>
  <c r="AZ61" i="1"/>
  <c r="AY62" i="1"/>
  <c r="AZ62" i="1"/>
  <c r="AY63" i="1"/>
  <c r="AZ63" i="1"/>
  <c r="AY64" i="1"/>
  <c r="AZ64" i="1"/>
  <c r="AY65" i="1"/>
  <c r="AZ65" i="1"/>
  <c r="AY66" i="1"/>
  <c r="AZ66" i="1"/>
  <c r="AY67" i="1"/>
  <c r="AZ67" i="1"/>
  <c r="AY68" i="1"/>
  <c r="AZ68" i="1"/>
  <c r="AY69" i="1"/>
  <c r="AZ69" i="1"/>
  <c r="AY70" i="1"/>
  <c r="AZ70" i="1"/>
  <c r="AY71" i="1"/>
  <c r="AZ71" i="1"/>
  <c r="AY72" i="1"/>
  <c r="AZ72" i="1"/>
  <c r="AY73" i="1"/>
  <c r="AZ73" i="1"/>
  <c r="AY74" i="1"/>
  <c r="AZ74" i="1"/>
  <c r="AY75" i="1"/>
  <c r="AZ75" i="1"/>
  <c r="AY76" i="1"/>
  <c r="AZ76" i="1"/>
  <c r="AY77" i="1"/>
  <c r="AZ77" i="1"/>
  <c r="AY78" i="1"/>
  <c r="AZ78" i="1"/>
  <c r="AY79" i="1"/>
  <c r="AZ79" i="1"/>
  <c r="AY80" i="1"/>
  <c r="AZ80" i="1"/>
  <c r="AY81" i="1"/>
  <c r="AZ81" i="1"/>
  <c r="AY82" i="1"/>
  <c r="AZ82" i="1"/>
  <c r="AY83" i="1"/>
  <c r="AZ83" i="1"/>
  <c r="AY84" i="1"/>
  <c r="AZ84" i="1"/>
  <c r="AY85" i="1"/>
  <c r="AZ85" i="1"/>
  <c r="AY86" i="1"/>
  <c r="AZ86" i="1"/>
  <c r="AY87" i="1"/>
  <c r="AZ87" i="1"/>
  <c r="AY88" i="1"/>
  <c r="AZ88" i="1"/>
  <c r="AY89" i="1"/>
  <c r="AZ89" i="1"/>
  <c r="AY91" i="1"/>
  <c r="AZ91" i="1"/>
  <c r="AY92" i="1"/>
  <c r="AZ92" i="1"/>
  <c r="AY93" i="1"/>
  <c r="AZ93" i="1"/>
  <c r="AY94" i="1"/>
  <c r="AZ94" i="1"/>
  <c r="AY95" i="1"/>
  <c r="AZ95" i="1"/>
  <c r="AY96" i="1"/>
  <c r="AZ96" i="1"/>
  <c r="AY97" i="1"/>
  <c r="AZ97" i="1"/>
  <c r="AY98" i="1"/>
  <c r="AZ98" i="1"/>
  <c r="AY99" i="1"/>
  <c r="AZ99" i="1"/>
  <c r="AY100" i="1"/>
  <c r="AZ100" i="1"/>
  <c r="AY101" i="1"/>
  <c r="AZ101" i="1"/>
  <c r="AY102" i="1"/>
  <c r="AZ102" i="1"/>
  <c r="AY103" i="1"/>
  <c r="AZ103" i="1"/>
  <c r="AY104" i="1"/>
  <c r="AZ104" i="1"/>
  <c r="AY105" i="1"/>
  <c r="AZ105" i="1"/>
  <c r="AY108" i="1"/>
  <c r="AZ108" i="1"/>
  <c r="AY109" i="1"/>
  <c r="AY110" i="1"/>
  <c r="AZ110" i="1"/>
  <c r="AY111" i="1"/>
  <c r="AZ111" i="1"/>
  <c r="AY112" i="1"/>
  <c r="AZ112" i="1"/>
  <c r="AY113" i="1"/>
  <c r="AZ113" i="1"/>
  <c r="AY114" i="1"/>
  <c r="AZ114" i="1"/>
  <c r="AY3" i="1"/>
  <c r="AZ3" i="1" s="1"/>
  <c r="AT4" i="1"/>
  <c r="AT5" i="1"/>
  <c r="AT6" i="1"/>
  <c r="AS7" i="1"/>
  <c r="AT7" i="1"/>
  <c r="AS8" i="1"/>
  <c r="AT8" i="1" s="1"/>
  <c r="AS9" i="1"/>
  <c r="AT9" i="1"/>
  <c r="AS10" i="1"/>
  <c r="AT10" i="1"/>
  <c r="AS11" i="1"/>
  <c r="AT11" i="1"/>
  <c r="AS12" i="1"/>
  <c r="AT12" i="1"/>
  <c r="AS13" i="1"/>
  <c r="AT13" i="1"/>
  <c r="AS14" i="1"/>
  <c r="AT14" i="1"/>
  <c r="AS16" i="1"/>
  <c r="AT16" i="1"/>
  <c r="AS17" i="1"/>
  <c r="AT17" i="1"/>
  <c r="AS18" i="1"/>
  <c r="AT18" i="1"/>
  <c r="AS19" i="1"/>
  <c r="AT19" i="1"/>
  <c r="AS20" i="1"/>
  <c r="AT20" i="1"/>
  <c r="AS21" i="1"/>
  <c r="AT21" i="1"/>
  <c r="AS22" i="1"/>
  <c r="AT22" i="1"/>
  <c r="AS23" i="1"/>
  <c r="AT23" i="1"/>
  <c r="AS24" i="1"/>
  <c r="AT24" i="1"/>
  <c r="AS25" i="1"/>
  <c r="AT25" i="1"/>
  <c r="AS26" i="1"/>
  <c r="AT26" i="1"/>
  <c r="AS27" i="1"/>
  <c r="AT27" i="1"/>
  <c r="AS28" i="1"/>
  <c r="AT28" i="1"/>
  <c r="AS29" i="1"/>
  <c r="AT29" i="1"/>
  <c r="AS30" i="1"/>
  <c r="AT30" i="1"/>
  <c r="AS31" i="1"/>
  <c r="AT31" i="1"/>
  <c r="AS32" i="1"/>
  <c r="AT32" i="1"/>
  <c r="AS33" i="1"/>
  <c r="AT33" i="1"/>
  <c r="AS34" i="1"/>
  <c r="AT34" i="1"/>
  <c r="AS35" i="1"/>
  <c r="AT35" i="1"/>
  <c r="AS36" i="1"/>
  <c r="AT36" i="1"/>
  <c r="AS37" i="1"/>
  <c r="AT37" i="1"/>
  <c r="AS38" i="1"/>
  <c r="AT38" i="1"/>
  <c r="AS39" i="1"/>
  <c r="AT39" i="1"/>
  <c r="AS40" i="1"/>
  <c r="AT40" i="1"/>
  <c r="AS41" i="1"/>
  <c r="AT41" i="1"/>
  <c r="AS42" i="1"/>
  <c r="AT42" i="1"/>
  <c r="AS43" i="1"/>
  <c r="AT43" i="1"/>
  <c r="AS46" i="1"/>
  <c r="AT46" i="1"/>
  <c r="AS47" i="1"/>
  <c r="AT47" i="1"/>
  <c r="AS48" i="1"/>
  <c r="AT48" i="1"/>
  <c r="AS49" i="1"/>
  <c r="AT49" i="1"/>
  <c r="AS50" i="1"/>
  <c r="AT50" i="1"/>
  <c r="AS51" i="1"/>
  <c r="AT51" i="1"/>
  <c r="AS52" i="1"/>
  <c r="AT52" i="1"/>
  <c r="AS53" i="1"/>
  <c r="AT53" i="1"/>
  <c r="AS57" i="1"/>
  <c r="AT57" i="1"/>
  <c r="AS58" i="1"/>
  <c r="AT58" i="1"/>
  <c r="AS59" i="1"/>
  <c r="AT59" i="1"/>
  <c r="AS60" i="1"/>
  <c r="AT60" i="1"/>
  <c r="AS61" i="1"/>
  <c r="AT61" i="1"/>
  <c r="AS62" i="1"/>
  <c r="AT62" i="1"/>
  <c r="AS63" i="1"/>
  <c r="AT63" i="1"/>
  <c r="AS64" i="1"/>
  <c r="AT64" i="1"/>
  <c r="AS65" i="1"/>
  <c r="AT65" i="1"/>
  <c r="AS66" i="1"/>
  <c r="AT66" i="1"/>
  <c r="AS67" i="1"/>
  <c r="AT67" i="1"/>
  <c r="AS68" i="1"/>
  <c r="AT68" i="1"/>
  <c r="AS69" i="1"/>
  <c r="AT69" i="1"/>
  <c r="AS70" i="1"/>
  <c r="AT70" i="1"/>
  <c r="AS71" i="1"/>
  <c r="AT71" i="1"/>
  <c r="AS72" i="1"/>
  <c r="AT72" i="1"/>
  <c r="AS73" i="1"/>
  <c r="AT73" i="1"/>
  <c r="AS74" i="1"/>
  <c r="AT74" i="1"/>
  <c r="AS75" i="1"/>
  <c r="AT75" i="1"/>
  <c r="AS76" i="1"/>
  <c r="AT76" i="1"/>
  <c r="AS77" i="1"/>
  <c r="AT77" i="1"/>
  <c r="AS78" i="1"/>
  <c r="AT78" i="1"/>
  <c r="AS79" i="1"/>
  <c r="AT79" i="1"/>
  <c r="AS80" i="1"/>
  <c r="AT80" i="1"/>
  <c r="AS81" i="1"/>
  <c r="AT81" i="1"/>
  <c r="AS82" i="1"/>
  <c r="AT82" i="1"/>
  <c r="AS83" i="1"/>
  <c r="AT83" i="1"/>
  <c r="AS84" i="1"/>
  <c r="AT84" i="1"/>
  <c r="AS85" i="1"/>
  <c r="AT85" i="1"/>
  <c r="AS86" i="1"/>
  <c r="AT86" i="1"/>
  <c r="AS87" i="1"/>
  <c r="AT87" i="1"/>
  <c r="AS88" i="1"/>
  <c r="AT88" i="1"/>
  <c r="AS89" i="1"/>
  <c r="AT89" i="1"/>
  <c r="AS91" i="1"/>
  <c r="AT91" i="1"/>
  <c r="AS92" i="1"/>
  <c r="AT92" i="1"/>
  <c r="AS93" i="1"/>
  <c r="AT93" i="1"/>
  <c r="AS94" i="1"/>
  <c r="AT94" i="1"/>
  <c r="AS95" i="1"/>
  <c r="AT95" i="1"/>
  <c r="AS96" i="1"/>
  <c r="AT96" i="1"/>
  <c r="AS97" i="1"/>
  <c r="AT97" i="1"/>
  <c r="AS98" i="1"/>
  <c r="AT98" i="1"/>
  <c r="AS99" i="1"/>
  <c r="AT99" i="1"/>
  <c r="AS100" i="1"/>
  <c r="AT100" i="1"/>
  <c r="AS101" i="1"/>
  <c r="AT101" i="1"/>
  <c r="AS102" i="1"/>
  <c r="AT102" i="1"/>
  <c r="AS103" i="1"/>
  <c r="AT103" i="1"/>
  <c r="AS104" i="1"/>
  <c r="AT104" i="1"/>
  <c r="AS105" i="1"/>
  <c r="AT105" i="1"/>
  <c r="AS109" i="1"/>
  <c r="AS110" i="1"/>
  <c r="AT110" i="1"/>
  <c r="AS111" i="1"/>
  <c r="AT111" i="1"/>
  <c r="AS112" i="1"/>
  <c r="AT112" i="1"/>
  <c r="AS113" i="1"/>
  <c r="AT113" i="1"/>
  <c r="AS114" i="1"/>
  <c r="AT114" i="1"/>
  <c r="AT3" i="1"/>
  <c r="AM7" i="1"/>
  <c r="AN7" i="1"/>
  <c r="AM4" i="1"/>
  <c r="AN4" i="1"/>
  <c r="AM5" i="1"/>
  <c r="AN5" i="1"/>
  <c r="AM6" i="1"/>
  <c r="AN6" i="1"/>
  <c r="AM8" i="1"/>
  <c r="AN8" i="1"/>
  <c r="AN9" i="1"/>
  <c r="AN10" i="1"/>
  <c r="AM11" i="1"/>
  <c r="AN11" i="1"/>
  <c r="AN12" i="1"/>
  <c r="AN13" i="1"/>
  <c r="AM14" i="1"/>
  <c r="AN14" i="1"/>
  <c r="AN16" i="1"/>
  <c r="AM17" i="1"/>
  <c r="AN17" i="1"/>
  <c r="AM18" i="1"/>
  <c r="AN18" i="1"/>
  <c r="AM19" i="1"/>
  <c r="AN19" i="1"/>
  <c r="AN20" i="1"/>
  <c r="AM21" i="1"/>
  <c r="AN21" i="1"/>
  <c r="AM22" i="1"/>
  <c r="AN22" i="1"/>
  <c r="AM23" i="1"/>
  <c r="AN23" i="1"/>
  <c r="AM24" i="1"/>
  <c r="AN24" i="1"/>
  <c r="AN25" i="1"/>
  <c r="AN26" i="1"/>
  <c r="AN27" i="1"/>
  <c r="AN28" i="1"/>
  <c r="AN29" i="1"/>
  <c r="AM30" i="1"/>
  <c r="AN30" i="1"/>
  <c r="AM31" i="1"/>
  <c r="AN31" i="1"/>
  <c r="AM32" i="1"/>
  <c r="AN32" i="1"/>
  <c r="AN33" i="1"/>
  <c r="AM34" i="1"/>
  <c r="AN34" i="1"/>
  <c r="AM35" i="1"/>
  <c r="AN35" i="1"/>
  <c r="AN36" i="1"/>
  <c r="AN37" i="1"/>
  <c r="AN38" i="1"/>
  <c r="AM39" i="1"/>
  <c r="AN39" i="1"/>
  <c r="AM40" i="1"/>
  <c r="AN40" i="1"/>
  <c r="AM41" i="1"/>
  <c r="AN41" i="1"/>
  <c r="AM42" i="1"/>
  <c r="AN42" i="1"/>
  <c r="AM43" i="1"/>
  <c r="AN43" i="1"/>
  <c r="AM46" i="1"/>
  <c r="AN46" i="1"/>
  <c r="AM47" i="1"/>
  <c r="AN47" i="1"/>
  <c r="AM48" i="1"/>
  <c r="AN48" i="1"/>
  <c r="AM49" i="1"/>
  <c r="AN49" i="1"/>
  <c r="AM50" i="1"/>
  <c r="AN50" i="1"/>
  <c r="AM51" i="1"/>
  <c r="AN51" i="1"/>
  <c r="AM52" i="1"/>
  <c r="AN52" i="1"/>
  <c r="AM53" i="1"/>
  <c r="AN53" i="1"/>
  <c r="AM57" i="1"/>
  <c r="AN57" i="1"/>
  <c r="AM58" i="1"/>
  <c r="AN58" i="1"/>
  <c r="AM59" i="1"/>
  <c r="AN59" i="1"/>
  <c r="AM60" i="1"/>
  <c r="AN60" i="1"/>
  <c r="AM61" i="1"/>
  <c r="AN61" i="1"/>
  <c r="AM62" i="1"/>
  <c r="AN62" i="1"/>
  <c r="AM63" i="1"/>
  <c r="AN63" i="1"/>
  <c r="AM64" i="1"/>
  <c r="AN64" i="1"/>
  <c r="AM65" i="1"/>
  <c r="AN65" i="1"/>
  <c r="AM66" i="1"/>
  <c r="AN66" i="1"/>
  <c r="AM67" i="1"/>
  <c r="AN67" i="1"/>
  <c r="AM68" i="1"/>
  <c r="AN68" i="1"/>
  <c r="AM69" i="1"/>
  <c r="AN69" i="1"/>
  <c r="AM70" i="1"/>
  <c r="AN70" i="1"/>
  <c r="AM71" i="1"/>
  <c r="AN71" i="1"/>
  <c r="AM72" i="1"/>
  <c r="AN72" i="1"/>
  <c r="AM73" i="1"/>
  <c r="AN73" i="1"/>
  <c r="AM74" i="1"/>
  <c r="AN74" i="1"/>
  <c r="AM75" i="1"/>
  <c r="AN75" i="1"/>
  <c r="AM76" i="1"/>
  <c r="AN76" i="1"/>
  <c r="AM77" i="1"/>
  <c r="AN77" i="1"/>
  <c r="AM78" i="1"/>
  <c r="AN78" i="1"/>
  <c r="AM79" i="1"/>
  <c r="AN79" i="1"/>
  <c r="AM80" i="1"/>
  <c r="AN80" i="1"/>
  <c r="AM81" i="1"/>
  <c r="AN81" i="1"/>
  <c r="AM82" i="1"/>
  <c r="AN82" i="1"/>
  <c r="AM83" i="1"/>
  <c r="AN83" i="1"/>
  <c r="AM84" i="1"/>
  <c r="AN84" i="1"/>
  <c r="AM85" i="1"/>
  <c r="AN85" i="1"/>
  <c r="AM86" i="1"/>
  <c r="AN86" i="1"/>
  <c r="AM87" i="1"/>
  <c r="AN87" i="1"/>
  <c r="AM88" i="1"/>
  <c r="AN88" i="1"/>
  <c r="AM89" i="1"/>
  <c r="AN89" i="1"/>
  <c r="AM91" i="1"/>
  <c r="AN91" i="1"/>
  <c r="AM92" i="1"/>
  <c r="AN92" i="1"/>
  <c r="AM93" i="1"/>
  <c r="AN93" i="1"/>
  <c r="AM94" i="1"/>
  <c r="AN94" i="1"/>
  <c r="AM95" i="1"/>
  <c r="AN95" i="1"/>
  <c r="AM96" i="1"/>
  <c r="AN96" i="1"/>
  <c r="AM97" i="1"/>
  <c r="AN97" i="1"/>
  <c r="AM98" i="1"/>
  <c r="AN98" i="1"/>
  <c r="AM99" i="1"/>
  <c r="AN99" i="1"/>
  <c r="AM100" i="1"/>
  <c r="AN100" i="1"/>
  <c r="AM101" i="1"/>
  <c r="AN101" i="1"/>
  <c r="AM102" i="1"/>
  <c r="AN102" i="1"/>
  <c r="AM103" i="1"/>
  <c r="AN103" i="1"/>
  <c r="AM104" i="1"/>
  <c r="AN104" i="1"/>
  <c r="AM105" i="1"/>
  <c r="AN105" i="1"/>
  <c r="AM110" i="1"/>
  <c r="AN110" i="1"/>
  <c r="AM111" i="1"/>
  <c r="AN111" i="1"/>
  <c r="AM112" i="1"/>
  <c r="AN112" i="1"/>
  <c r="AM113" i="1"/>
  <c r="AN113" i="1"/>
  <c r="AM114" i="1"/>
  <c r="AN114" i="1"/>
  <c r="AM3" i="1"/>
  <c r="AN3" i="1" s="1"/>
  <c r="AG4" i="1"/>
  <c r="AH4" i="1"/>
  <c r="AG5" i="1"/>
  <c r="AH5" i="1"/>
  <c r="AG6" i="1"/>
  <c r="AH6" i="1"/>
  <c r="AG7" i="1"/>
  <c r="AH7" i="1"/>
  <c r="AG8" i="1"/>
  <c r="AH8" i="1"/>
  <c r="AG9" i="1"/>
  <c r="AH9" i="1"/>
  <c r="AG10" i="1"/>
  <c r="AH10" i="1"/>
  <c r="AG11" i="1"/>
  <c r="AH11" i="1"/>
  <c r="AG12" i="1"/>
  <c r="AH12" i="1"/>
  <c r="AG13" i="1"/>
  <c r="AH13" i="1"/>
  <c r="AG14" i="1"/>
  <c r="AH14" i="1"/>
  <c r="AG16" i="1"/>
  <c r="AH16" i="1"/>
  <c r="AG17" i="1"/>
  <c r="AH17" i="1"/>
  <c r="AG18" i="1"/>
  <c r="AH18" i="1"/>
  <c r="AG19" i="1"/>
  <c r="AH19" i="1"/>
  <c r="AG20" i="1"/>
  <c r="AH20" i="1"/>
  <c r="AG21" i="1"/>
  <c r="AH21" i="1"/>
  <c r="AG22" i="1"/>
  <c r="AH22" i="1"/>
  <c r="AG23" i="1"/>
  <c r="AH23" i="1"/>
  <c r="AG24" i="1"/>
  <c r="AH24" i="1"/>
  <c r="AG25" i="1"/>
  <c r="AH25" i="1"/>
  <c r="AG26" i="1"/>
  <c r="AH26" i="1"/>
  <c r="AG27" i="1"/>
  <c r="AH27" i="1"/>
  <c r="AG28" i="1"/>
  <c r="AH28" i="1"/>
  <c r="AG29" i="1"/>
  <c r="AH29" i="1"/>
  <c r="AG30" i="1"/>
  <c r="AH30" i="1"/>
  <c r="AG31" i="1"/>
  <c r="AH31" i="1"/>
  <c r="AG32" i="1"/>
  <c r="AH32" i="1"/>
  <c r="AG33" i="1"/>
  <c r="AH33" i="1"/>
  <c r="AG34" i="1"/>
  <c r="AH34" i="1"/>
  <c r="AG35" i="1"/>
  <c r="AH35" i="1"/>
  <c r="AG36" i="1"/>
  <c r="AH36" i="1"/>
  <c r="AG37" i="1"/>
  <c r="AH37" i="1"/>
  <c r="AG38" i="1"/>
  <c r="AH38" i="1"/>
  <c r="AG39" i="1"/>
  <c r="AH39" i="1"/>
  <c r="AG40" i="1"/>
  <c r="AH40" i="1"/>
  <c r="AG41" i="1"/>
  <c r="AH41" i="1"/>
  <c r="AG42" i="1"/>
  <c r="AH42" i="1"/>
  <c r="AG43" i="1"/>
  <c r="AH43" i="1"/>
  <c r="AG46" i="1"/>
  <c r="AH46" i="1"/>
  <c r="AG47" i="1"/>
  <c r="AH47" i="1"/>
  <c r="AG48" i="1"/>
  <c r="AH48" i="1"/>
  <c r="AG49" i="1"/>
  <c r="AH49" i="1"/>
  <c r="AG50" i="1"/>
  <c r="AH50" i="1"/>
  <c r="AG51" i="1"/>
  <c r="AH51" i="1"/>
  <c r="AG52" i="1"/>
  <c r="AH52" i="1"/>
  <c r="AG53" i="1"/>
  <c r="AH53" i="1"/>
  <c r="AG57" i="1"/>
  <c r="AH57" i="1"/>
  <c r="AG58" i="1"/>
  <c r="AH58" i="1"/>
  <c r="AG59" i="1"/>
  <c r="AH59" i="1"/>
  <c r="AG60" i="1"/>
  <c r="AH60" i="1"/>
  <c r="AG61" i="1"/>
  <c r="AH61" i="1"/>
  <c r="AH62" i="1"/>
  <c r="AG63" i="1"/>
  <c r="AH63" i="1"/>
  <c r="AG64" i="1"/>
  <c r="AH64" i="1"/>
  <c r="AG65" i="1"/>
  <c r="AH65" i="1"/>
  <c r="AG66" i="1"/>
  <c r="AH66" i="1"/>
  <c r="AG67" i="1"/>
  <c r="AH67" i="1"/>
  <c r="AG68" i="1"/>
  <c r="AH68" i="1"/>
  <c r="AG69" i="1"/>
  <c r="AH69" i="1"/>
  <c r="AG70" i="1"/>
  <c r="AH70" i="1"/>
  <c r="AG71" i="1"/>
  <c r="AH71" i="1"/>
  <c r="AG72" i="1"/>
  <c r="AH72" i="1"/>
  <c r="AG73" i="1"/>
  <c r="AH73" i="1"/>
  <c r="AG74" i="1"/>
  <c r="AH74" i="1"/>
  <c r="AG75" i="1"/>
  <c r="AH75" i="1"/>
  <c r="AG76" i="1"/>
  <c r="AH76" i="1"/>
  <c r="AG77" i="1"/>
  <c r="AH77" i="1"/>
  <c r="AG78" i="1"/>
  <c r="AH78" i="1"/>
  <c r="AG79" i="1"/>
  <c r="AH79" i="1"/>
  <c r="AG80" i="1"/>
  <c r="AH80" i="1"/>
  <c r="AG81" i="1"/>
  <c r="AH81" i="1"/>
  <c r="AG82" i="1"/>
  <c r="AH82" i="1"/>
  <c r="AG83" i="1"/>
  <c r="AH83" i="1"/>
  <c r="AG84" i="1"/>
  <c r="AH84" i="1"/>
  <c r="AG85" i="1"/>
  <c r="AH85" i="1"/>
  <c r="AG86" i="1"/>
  <c r="AH86" i="1"/>
  <c r="AG87" i="1"/>
  <c r="AH87" i="1"/>
  <c r="AG88" i="1"/>
  <c r="AH88" i="1"/>
  <c r="AG89" i="1"/>
  <c r="AH89" i="1"/>
  <c r="AG91" i="1"/>
  <c r="AH91" i="1"/>
  <c r="AG92" i="1"/>
  <c r="AH92" i="1"/>
  <c r="AG93" i="1"/>
  <c r="AH93" i="1"/>
  <c r="AG94" i="1"/>
  <c r="AH94" i="1"/>
  <c r="AG95" i="1"/>
  <c r="AH95" i="1"/>
  <c r="AG96" i="1"/>
  <c r="AH96" i="1"/>
  <c r="AG97" i="1"/>
  <c r="AH97" i="1"/>
  <c r="AG98" i="1"/>
  <c r="AH98" i="1"/>
  <c r="AG99" i="1"/>
  <c r="AH99" i="1"/>
  <c r="AG100" i="1"/>
  <c r="AH100" i="1"/>
  <c r="AG101" i="1"/>
  <c r="AH101" i="1"/>
  <c r="AG102" i="1"/>
  <c r="AH102" i="1"/>
  <c r="AG103" i="1"/>
  <c r="AH103" i="1"/>
  <c r="AG104" i="1"/>
  <c r="AH104" i="1"/>
  <c r="AG105" i="1"/>
  <c r="AH105" i="1"/>
  <c r="AG108" i="1"/>
  <c r="AH108" i="1"/>
  <c r="AG109" i="1"/>
  <c r="AH109" i="1"/>
  <c r="AG110" i="1"/>
  <c r="AH110" i="1"/>
  <c r="AG111" i="1"/>
  <c r="AH111" i="1"/>
  <c r="AG112" i="1"/>
  <c r="AH112" i="1"/>
  <c r="AG113" i="1"/>
  <c r="AH113" i="1"/>
  <c r="AG114" i="1"/>
  <c r="AH114" i="1"/>
  <c r="AG3" i="1"/>
  <c r="AH3" i="1" s="1"/>
  <c r="AA4" i="1"/>
  <c r="AB4" i="1"/>
  <c r="AA5" i="1"/>
  <c r="AB5" i="1"/>
  <c r="AA6" i="1"/>
  <c r="AB6" i="1"/>
  <c r="AA7" i="1"/>
  <c r="AB7" i="1"/>
  <c r="AA8" i="1"/>
  <c r="AB8" i="1"/>
  <c r="AA9" i="1"/>
  <c r="AB9" i="1"/>
  <c r="AA10" i="1"/>
  <c r="AB10" i="1"/>
  <c r="AA11" i="1"/>
  <c r="AB11" i="1"/>
  <c r="AA12" i="1"/>
  <c r="AB12" i="1"/>
  <c r="AA13" i="1"/>
  <c r="AB13" i="1"/>
  <c r="AA14" i="1"/>
  <c r="AB14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AA22" i="1"/>
  <c r="AB22" i="1"/>
  <c r="AA23" i="1"/>
  <c r="AB23" i="1"/>
  <c r="AA24" i="1"/>
  <c r="AB24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35" i="1"/>
  <c r="AB35" i="1"/>
  <c r="AA36" i="1"/>
  <c r="AB36" i="1"/>
  <c r="AA37" i="1"/>
  <c r="AB37" i="1"/>
  <c r="AA38" i="1"/>
  <c r="AB38" i="1"/>
  <c r="AA39" i="1"/>
  <c r="AB39" i="1"/>
  <c r="AA40" i="1"/>
  <c r="AB40" i="1"/>
  <c r="AA41" i="1"/>
  <c r="AB41" i="1"/>
  <c r="AA42" i="1"/>
  <c r="AB42" i="1"/>
  <c r="AA43" i="1"/>
  <c r="AB43" i="1"/>
  <c r="AA46" i="1"/>
  <c r="AB46" i="1"/>
  <c r="AA47" i="1"/>
  <c r="AB47" i="1"/>
  <c r="AA48" i="1"/>
  <c r="AB48" i="1"/>
  <c r="AA49" i="1"/>
  <c r="AB49" i="1"/>
  <c r="AA50" i="1"/>
  <c r="AB50" i="1"/>
  <c r="AA51" i="1"/>
  <c r="AB51" i="1"/>
  <c r="AA52" i="1"/>
  <c r="AB52" i="1"/>
  <c r="AA53" i="1"/>
  <c r="AB53" i="1"/>
  <c r="AA57" i="1"/>
  <c r="AB57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AA66" i="1"/>
  <c r="AB66" i="1"/>
  <c r="AA67" i="1"/>
  <c r="AB67" i="1"/>
  <c r="AA68" i="1"/>
  <c r="AB68" i="1"/>
  <c r="AA69" i="1"/>
  <c r="AB69" i="1"/>
  <c r="AA70" i="1"/>
  <c r="AB70" i="1"/>
  <c r="AA71" i="1"/>
  <c r="AB71" i="1"/>
  <c r="AA72" i="1"/>
  <c r="AB72" i="1"/>
  <c r="AA73" i="1"/>
  <c r="AB73" i="1"/>
  <c r="AA74" i="1"/>
  <c r="AB74" i="1"/>
  <c r="AA75" i="1"/>
  <c r="AB75" i="1"/>
  <c r="AA76" i="1"/>
  <c r="AB76" i="1"/>
  <c r="AA77" i="1"/>
  <c r="AB77" i="1"/>
  <c r="AA78" i="1"/>
  <c r="AB78" i="1"/>
  <c r="AA79" i="1"/>
  <c r="AB79" i="1"/>
  <c r="AA80" i="1"/>
  <c r="AB80" i="1"/>
  <c r="AA81" i="1"/>
  <c r="AB81" i="1"/>
  <c r="AA82" i="1"/>
  <c r="AB82" i="1"/>
  <c r="AA83" i="1"/>
  <c r="AB83" i="1"/>
  <c r="AA84" i="1"/>
  <c r="AB84" i="1"/>
  <c r="AA85" i="1"/>
  <c r="AB85" i="1"/>
  <c r="AA86" i="1"/>
  <c r="AB86" i="1"/>
  <c r="AA87" i="1"/>
  <c r="AB87" i="1"/>
  <c r="AA88" i="1"/>
  <c r="AB88" i="1"/>
  <c r="AA89" i="1"/>
  <c r="AB89" i="1"/>
  <c r="AA91" i="1"/>
  <c r="AB91" i="1"/>
  <c r="AA92" i="1"/>
  <c r="AB92" i="1"/>
  <c r="AA93" i="1"/>
  <c r="AB93" i="1"/>
  <c r="AA94" i="1"/>
  <c r="AB94" i="1"/>
  <c r="AA95" i="1"/>
  <c r="AB95" i="1"/>
  <c r="AA96" i="1"/>
  <c r="AB96" i="1"/>
  <c r="AA97" i="1"/>
  <c r="AB97" i="1"/>
  <c r="AA98" i="1"/>
  <c r="AB98" i="1"/>
  <c r="AA99" i="1"/>
  <c r="AB99" i="1"/>
  <c r="AA100" i="1"/>
  <c r="AB100" i="1"/>
  <c r="AA101" i="1"/>
  <c r="AB101" i="1"/>
  <c r="AA102" i="1"/>
  <c r="AB102" i="1"/>
  <c r="AA103" i="1"/>
  <c r="AB103" i="1"/>
  <c r="AA104" i="1"/>
  <c r="AB104" i="1"/>
  <c r="AA105" i="1"/>
  <c r="AB105" i="1"/>
  <c r="AA108" i="1"/>
  <c r="AB108" i="1"/>
  <c r="AA109" i="1"/>
  <c r="AB109" i="1"/>
  <c r="AA110" i="1"/>
  <c r="AB110" i="1"/>
  <c r="AA111" i="1"/>
  <c r="AB111" i="1"/>
  <c r="AA112" i="1"/>
  <c r="AB112" i="1"/>
  <c r="AA113" i="1"/>
  <c r="AB113" i="1"/>
  <c r="AA114" i="1"/>
  <c r="AB114" i="1"/>
  <c r="AA3" i="1"/>
  <c r="AB3" i="1" s="1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U14" i="1"/>
  <c r="V14" i="1"/>
  <c r="U16" i="1"/>
  <c r="V16" i="1"/>
  <c r="U17" i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V25" i="1"/>
  <c r="U26" i="1"/>
  <c r="V26" i="1"/>
  <c r="U27" i="1"/>
  <c r="V27" i="1"/>
  <c r="U28" i="1"/>
  <c r="V28" i="1"/>
  <c r="U29" i="1"/>
  <c r="V29" i="1"/>
  <c r="U30" i="1"/>
  <c r="V30" i="1"/>
  <c r="U31" i="1"/>
  <c r="V31" i="1"/>
  <c r="U32" i="1"/>
  <c r="V32" i="1"/>
  <c r="U33" i="1"/>
  <c r="V33" i="1"/>
  <c r="U34" i="1"/>
  <c r="V34" i="1"/>
  <c r="U35" i="1"/>
  <c r="V35" i="1"/>
  <c r="U36" i="1"/>
  <c r="V36" i="1"/>
  <c r="U37" i="1"/>
  <c r="V37" i="1"/>
  <c r="U38" i="1"/>
  <c r="V38" i="1"/>
  <c r="U39" i="1"/>
  <c r="V39" i="1"/>
  <c r="U40" i="1"/>
  <c r="V40" i="1"/>
  <c r="U41" i="1"/>
  <c r="V41" i="1"/>
  <c r="U42" i="1"/>
  <c r="V42" i="1"/>
  <c r="U43" i="1"/>
  <c r="V43" i="1"/>
  <c r="U46" i="1"/>
  <c r="V46" i="1"/>
  <c r="U47" i="1"/>
  <c r="V47" i="1"/>
  <c r="U48" i="1"/>
  <c r="V48" i="1"/>
  <c r="U49" i="1"/>
  <c r="V49" i="1"/>
  <c r="U50" i="1"/>
  <c r="V50" i="1"/>
  <c r="U51" i="1"/>
  <c r="V51" i="1"/>
  <c r="U52" i="1"/>
  <c r="V52" i="1"/>
  <c r="U53" i="1"/>
  <c r="V53" i="1"/>
  <c r="U57" i="1"/>
  <c r="V57" i="1"/>
  <c r="U58" i="1"/>
  <c r="V58" i="1"/>
  <c r="U59" i="1"/>
  <c r="V59" i="1"/>
  <c r="U60" i="1"/>
  <c r="V60" i="1"/>
  <c r="U61" i="1"/>
  <c r="V61" i="1"/>
  <c r="U62" i="1"/>
  <c r="V62" i="1"/>
  <c r="U63" i="1"/>
  <c r="V63" i="1"/>
  <c r="U64" i="1"/>
  <c r="V64" i="1"/>
  <c r="U65" i="1"/>
  <c r="V65" i="1"/>
  <c r="U66" i="1"/>
  <c r="V66" i="1"/>
  <c r="U67" i="1"/>
  <c r="V67" i="1"/>
  <c r="U68" i="1"/>
  <c r="V68" i="1"/>
  <c r="U69" i="1"/>
  <c r="V69" i="1"/>
  <c r="U70" i="1"/>
  <c r="V70" i="1"/>
  <c r="U71" i="1"/>
  <c r="V71" i="1"/>
  <c r="U72" i="1"/>
  <c r="V72" i="1"/>
  <c r="U73" i="1"/>
  <c r="V73" i="1"/>
  <c r="U74" i="1"/>
  <c r="V74" i="1"/>
  <c r="U75" i="1"/>
  <c r="V75" i="1"/>
  <c r="U76" i="1"/>
  <c r="V76" i="1"/>
  <c r="U77" i="1"/>
  <c r="V77" i="1"/>
  <c r="U78" i="1"/>
  <c r="V78" i="1"/>
  <c r="U79" i="1"/>
  <c r="V79" i="1"/>
  <c r="U80" i="1"/>
  <c r="V80" i="1"/>
  <c r="U81" i="1"/>
  <c r="V81" i="1"/>
  <c r="U82" i="1"/>
  <c r="V82" i="1"/>
  <c r="U83" i="1"/>
  <c r="V83" i="1"/>
  <c r="U84" i="1"/>
  <c r="V84" i="1"/>
  <c r="U85" i="1"/>
  <c r="V85" i="1"/>
  <c r="U86" i="1"/>
  <c r="V86" i="1"/>
  <c r="U87" i="1"/>
  <c r="V87" i="1"/>
  <c r="U88" i="1"/>
  <c r="V88" i="1"/>
  <c r="U89" i="1"/>
  <c r="V89" i="1"/>
  <c r="U91" i="1"/>
  <c r="V91" i="1"/>
  <c r="U92" i="1"/>
  <c r="V92" i="1"/>
  <c r="U93" i="1"/>
  <c r="V93" i="1"/>
  <c r="U94" i="1"/>
  <c r="V94" i="1"/>
  <c r="U95" i="1"/>
  <c r="V95" i="1"/>
  <c r="U96" i="1"/>
  <c r="V96" i="1"/>
  <c r="U97" i="1"/>
  <c r="V97" i="1"/>
  <c r="U98" i="1"/>
  <c r="V98" i="1"/>
  <c r="U99" i="1"/>
  <c r="V99" i="1"/>
  <c r="U100" i="1"/>
  <c r="V100" i="1"/>
  <c r="U101" i="1"/>
  <c r="V101" i="1"/>
  <c r="U102" i="1"/>
  <c r="V102" i="1"/>
  <c r="U103" i="1"/>
  <c r="V103" i="1"/>
  <c r="U104" i="1"/>
  <c r="V104" i="1"/>
  <c r="U105" i="1"/>
  <c r="V105" i="1"/>
  <c r="U108" i="1"/>
  <c r="V108" i="1"/>
  <c r="U109" i="1"/>
  <c r="V109" i="1"/>
  <c r="U110" i="1"/>
  <c r="V110" i="1"/>
  <c r="U111" i="1"/>
  <c r="V111" i="1"/>
  <c r="U112" i="1"/>
  <c r="V112" i="1"/>
  <c r="U113" i="1"/>
  <c r="V113" i="1"/>
  <c r="U114" i="1"/>
  <c r="V114" i="1"/>
  <c r="U3" i="1"/>
  <c r="V3" i="1" s="1"/>
  <c r="O5" i="1"/>
  <c r="P5" i="1" s="1"/>
  <c r="O6" i="1"/>
  <c r="P6" i="1" s="1"/>
  <c r="Q6" i="1" s="1"/>
  <c r="W6" i="1" s="1"/>
  <c r="AC6" i="1" s="1"/>
  <c r="AI6" i="1" s="1"/>
  <c r="AO6" i="1" s="1"/>
  <c r="AU6" i="1" s="1"/>
  <c r="BA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6" i="1"/>
  <c r="P46" i="1" s="1"/>
  <c r="O47" i="1"/>
  <c r="P47" i="1" s="1"/>
  <c r="Q47" i="1" s="1"/>
  <c r="W47" i="1" s="1"/>
  <c r="AC47" i="1" s="1"/>
  <c r="AI47" i="1" s="1"/>
  <c r="AO47" i="1" s="1"/>
  <c r="AU47" i="1" s="1"/>
  <c r="BA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Q75" i="1" s="1"/>
  <c r="W75" i="1" s="1"/>
  <c r="AC75" i="1" s="1"/>
  <c r="AI75" i="1" s="1"/>
  <c r="AO75" i="1" s="1"/>
  <c r="AU75" i="1" s="1"/>
  <c r="BA75" i="1" s="1"/>
  <c r="O76" i="1"/>
  <c r="P76" i="1" s="1"/>
  <c r="O77" i="1"/>
  <c r="P77" i="1" s="1"/>
  <c r="O78" i="1"/>
  <c r="P78" i="1" s="1"/>
  <c r="Q78" i="1" s="1"/>
  <c r="W78" i="1" s="1"/>
  <c r="AC78" i="1" s="1"/>
  <c r="AI78" i="1" s="1"/>
  <c r="AO78" i="1" s="1"/>
  <c r="AU78" i="1" s="1"/>
  <c r="BA78" i="1" s="1"/>
  <c r="O79" i="1"/>
  <c r="P79" i="1" s="1"/>
  <c r="Q79" i="1" s="1"/>
  <c r="W79" i="1" s="1"/>
  <c r="AC79" i="1" s="1"/>
  <c r="AI79" i="1" s="1"/>
  <c r="AO79" i="1" s="1"/>
  <c r="AU79" i="1" s="1"/>
  <c r="BA79" i="1" s="1"/>
  <c r="O80" i="1"/>
  <c r="P80" i="1" s="1"/>
  <c r="O81" i="1"/>
  <c r="P81" i="1" s="1"/>
  <c r="O82" i="1"/>
  <c r="P82" i="1" s="1"/>
  <c r="O83" i="1"/>
  <c r="P83" i="1" s="1"/>
  <c r="O84" i="1"/>
  <c r="P84" i="1" s="1"/>
  <c r="Q84" i="1" s="1"/>
  <c r="W84" i="1" s="1"/>
  <c r="AC84" i="1" s="1"/>
  <c r="AI84" i="1" s="1"/>
  <c r="AO84" i="1" s="1"/>
  <c r="AU84" i="1" s="1"/>
  <c r="BA84" i="1" s="1"/>
  <c r="O85" i="1"/>
  <c r="P85" i="1" s="1"/>
  <c r="Q85" i="1" s="1"/>
  <c r="W85" i="1" s="1"/>
  <c r="AC85" i="1" s="1"/>
  <c r="AI85" i="1" s="1"/>
  <c r="AO85" i="1" s="1"/>
  <c r="AU85" i="1" s="1"/>
  <c r="BA85" i="1" s="1"/>
  <c r="O87" i="1"/>
  <c r="P87" i="1" s="1"/>
  <c r="Q87" i="1" s="1"/>
  <c r="W87" i="1" s="1"/>
  <c r="AC87" i="1" s="1"/>
  <c r="AI87" i="1" s="1"/>
  <c r="AO87" i="1" s="1"/>
  <c r="AU87" i="1" s="1"/>
  <c r="BA87" i="1" s="1"/>
  <c r="O88" i="1"/>
  <c r="P88" i="1" s="1"/>
  <c r="Q88" i="1" s="1"/>
  <c r="W88" i="1" s="1"/>
  <c r="AC88" i="1" s="1"/>
  <c r="AI88" i="1" s="1"/>
  <c r="AO88" i="1" s="1"/>
  <c r="AU88" i="1" s="1"/>
  <c r="BA88" i="1" s="1"/>
  <c r="O89" i="1"/>
  <c r="P89" i="1" s="1"/>
  <c r="O91" i="1"/>
  <c r="P91" i="1" s="1"/>
  <c r="Q91" i="1" s="1"/>
  <c r="W91" i="1" s="1"/>
  <c r="AC91" i="1" s="1"/>
  <c r="AI91" i="1" s="1"/>
  <c r="AO91" i="1" s="1"/>
  <c r="AU91" i="1" s="1"/>
  <c r="BA91" i="1" s="1"/>
  <c r="O92" i="1"/>
  <c r="P92" i="1" s="1"/>
  <c r="Q92" i="1" s="1"/>
  <c r="W92" i="1" s="1"/>
  <c r="AC92" i="1" s="1"/>
  <c r="AI92" i="1" s="1"/>
  <c r="AO92" i="1" s="1"/>
  <c r="AU92" i="1" s="1"/>
  <c r="BA92" i="1" s="1"/>
  <c r="O93" i="1"/>
  <c r="P93" i="1" s="1"/>
  <c r="Q93" i="1" s="1"/>
  <c r="W93" i="1" s="1"/>
  <c r="AC93" i="1" s="1"/>
  <c r="AI93" i="1" s="1"/>
  <c r="AO93" i="1" s="1"/>
  <c r="AU93" i="1" s="1"/>
  <c r="BA93" i="1" s="1"/>
  <c r="O94" i="1"/>
  <c r="P94" i="1" s="1"/>
  <c r="Q94" i="1" s="1"/>
  <c r="W94" i="1" s="1"/>
  <c r="AC94" i="1" s="1"/>
  <c r="AI94" i="1" s="1"/>
  <c r="AO94" i="1" s="1"/>
  <c r="AU94" i="1" s="1"/>
  <c r="BA94" i="1" s="1"/>
  <c r="O95" i="1"/>
  <c r="P95" i="1" s="1"/>
  <c r="Q95" i="1" s="1"/>
  <c r="W95" i="1" s="1"/>
  <c r="AC95" i="1" s="1"/>
  <c r="AI95" i="1" s="1"/>
  <c r="AO95" i="1" s="1"/>
  <c r="AU95" i="1" s="1"/>
  <c r="BA95" i="1" s="1"/>
  <c r="O96" i="1"/>
  <c r="P96" i="1" s="1"/>
  <c r="Q96" i="1" s="1"/>
  <c r="W96" i="1" s="1"/>
  <c r="AC96" i="1" s="1"/>
  <c r="AI96" i="1" s="1"/>
  <c r="AO96" i="1" s="1"/>
  <c r="AU96" i="1" s="1"/>
  <c r="BA96" i="1" s="1"/>
  <c r="O97" i="1"/>
  <c r="P97" i="1" s="1"/>
  <c r="Q97" i="1" s="1"/>
  <c r="W97" i="1" s="1"/>
  <c r="AC97" i="1" s="1"/>
  <c r="AI97" i="1" s="1"/>
  <c r="AO97" i="1" s="1"/>
  <c r="AU97" i="1" s="1"/>
  <c r="BA97" i="1" s="1"/>
  <c r="O98" i="1"/>
  <c r="P98" i="1" s="1"/>
  <c r="Q98" i="1" s="1"/>
  <c r="W98" i="1" s="1"/>
  <c r="AC98" i="1" s="1"/>
  <c r="AI98" i="1" s="1"/>
  <c r="AO98" i="1" s="1"/>
  <c r="AU98" i="1" s="1"/>
  <c r="BA98" i="1" s="1"/>
  <c r="O99" i="1"/>
  <c r="P99" i="1" s="1"/>
  <c r="Q99" i="1" s="1"/>
  <c r="W99" i="1" s="1"/>
  <c r="AC99" i="1" s="1"/>
  <c r="AI99" i="1" s="1"/>
  <c r="AO99" i="1" s="1"/>
  <c r="AU99" i="1" s="1"/>
  <c r="BA99" i="1" s="1"/>
  <c r="O100" i="1"/>
  <c r="P100" i="1" s="1"/>
  <c r="Q100" i="1" s="1"/>
  <c r="W100" i="1" s="1"/>
  <c r="AC100" i="1" s="1"/>
  <c r="AI100" i="1" s="1"/>
  <c r="AO100" i="1" s="1"/>
  <c r="AU100" i="1" s="1"/>
  <c r="BA100" i="1" s="1"/>
  <c r="O101" i="1"/>
  <c r="P101" i="1" s="1"/>
  <c r="Q101" i="1" s="1"/>
  <c r="W101" i="1" s="1"/>
  <c r="AC101" i="1" s="1"/>
  <c r="AI101" i="1" s="1"/>
  <c r="AO101" i="1" s="1"/>
  <c r="AU101" i="1" s="1"/>
  <c r="BA101" i="1" s="1"/>
  <c r="O102" i="1"/>
  <c r="P102" i="1" s="1"/>
  <c r="Q102" i="1" s="1"/>
  <c r="W102" i="1" s="1"/>
  <c r="AC102" i="1" s="1"/>
  <c r="AI102" i="1" s="1"/>
  <c r="AO102" i="1" s="1"/>
  <c r="AU102" i="1" s="1"/>
  <c r="BA102" i="1" s="1"/>
  <c r="O103" i="1"/>
  <c r="P103" i="1" s="1"/>
  <c r="Q103" i="1" s="1"/>
  <c r="W103" i="1" s="1"/>
  <c r="AC103" i="1" s="1"/>
  <c r="AI103" i="1" s="1"/>
  <c r="AO103" i="1" s="1"/>
  <c r="AU103" i="1" s="1"/>
  <c r="BA103" i="1" s="1"/>
  <c r="O104" i="1"/>
  <c r="P104" i="1" s="1"/>
  <c r="Q104" i="1" s="1"/>
  <c r="W104" i="1" s="1"/>
  <c r="AC104" i="1" s="1"/>
  <c r="AI104" i="1" s="1"/>
  <c r="AO104" i="1" s="1"/>
  <c r="AU104" i="1" s="1"/>
  <c r="BA104" i="1" s="1"/>
  <c r="O105" i="1"/>
  <c r="P105" i="1" s="1"/>
  <c r="Q105" i="1" s="1"/>
  <c r="W105" i="1" s="1"/>
  <c r="AC105" i="1" s="1"/>
  <c r="AI105" i="1" s="1"/>
  <c r="AO105" i="1" s="1"/>
  <c r="AU105" i="1" s="1"/>
  <c r="BA105" i="1" s="1"/>
  <c r="O108" i="1"/>
  <c r="P108" i="1" s="1"/>
  <c r="Q108" i="1" s="1"/>
  <c r="W108" i="1" s="1"/>
  <c r="AC108" i="1" s="1"/>
  <c r="AI108" i="1" s="1"/>
  <c r="BA108" i="1" s="1"/>
  <c r="O109" i="1"/>
  <c r="P109" i="1" s="1"/>
  <c r="Q109" i="1" s="1"/>
  <c r="W109" i="1" s="1"/>
  <c r="AC109" i="1" s="1"/>
  <c r="AI109" i="1" s="1"/>
  <c r="BA109" i="1" s="1"/>
  <c r="O110" i="1"/>
  <c r="P110" i="1" s="1"/>
  <c r="Q110" i="1" s="1"/>
  <c r="W110" i="1" s="1"/>
  <c r="AC110" i="1" s="1"/>
  <c r="AI110" i="1" s="1"/>
  <c r="AO110" i="1" s="1"/>
  <c r="AU110" i="1" s="1"/>
  <c r="BA110" i="1" s="1"/>
  <c r="O111" i="1"/>
  <c r="P111" i="1" s="1"/>
  <c r="Q111" i="1" s="1"/>
  <c r="W111" i="1" s="1"/>
  <c r="AC111" i="1" s="1"/>
  <c r="AI111" i="1" s="1"/>
  <c r="AO111" i="1" s="1"/>
  <c r="AU111" i="1" s="1"/>
  <c r="BA111" i="1" s="1"/>
  <c r="O112" i="1"/>
  <c r="P112" i="1" s="1"/>
  <c r="Q112" i="1" s="1"/>
  <c r="W112" i="1" s="1"/>
  <c r="AC112" i="1" s="1"/>
  <c r="AI112" i="1" s="1"/>
  <c r="AO112" i="1" s="1"/>
  <c r="AU112" i="1" s="1"/>
  <c r="BA112" i="1" s="1"/>
  <c r="O113" i="1"/>
  <c r="P113" i="1" s="1"/>
  <c r="Q113" i="1" s="1"/>
  <c r="W113" i="1" s="1"/>
  <c r="AC113" i="1" s="1"/>
  <c r="AI113" i="1" s="1"/>
  <c r="AO113" i="1" s="1"/>
  <c r="AU113" i="1" s="1"/>
  <c r="BA113" i="1" s="1"/>
  <c r="O114" i="1"/>
  <c r="P114" i="1" s="1"/>
  <c r="Q114" i="1" s="1"/>
  <c r="W114" i="1" s="1"/>
  <c r="AC114" i="1" s="1"/>
  <c r="AI114" i="1" s="1"/>
  <c r="AO114" i="1" s="1"/>
  <c r="AU114" i="1" s="1"/>
  <c r="BA114" i="1" s="1"/>
  <c r="O4" i="1"/>
  <c r="P4" i="1" s="1"/>
  <c r="O3" i="1"/>
  <c r="P3" i="1" s="1"/>
  <c r="M86" i="1"/>
  <c r="N86" i="1"/>
  <c r="J3" i="1"/>
  <c r="J89" i="1"/>
  <c r="K89" i="1" s="1"/>
  <c r="Q89" i="1" s="1"/>
  <c r="W89" i="1" s="1"/>
  <c r="AC89" i="1" s="1"/>
  <c r="AI89" i="1" s="1"/>
  <c r="AO89" i="1" s="1"/>
  <c r="AU89" i="1" s="1"/>
  <c r="BA89" i="1" s="1"/>
  <c r="J83" i="1"/>
  <c r="K83" i="1" s="1"/>
  <c r="Q83" i="1" s="1"/>
  <c r="W83" i="1" s="1"/>
  <c r="AC83" i="1" s="1"/>
  <c r="AI83" i="1" s="1"/>
  <c r="AO83" i="1" s="1"/>
  <c r="AU83" i="1" s="1"/>
  <c r="BA83" i="1" s="1"/>
  <c r="J82" i="1"/>
  <c r="K82" i="1" s="1"/>
  <c r="Q82" i="1" s="1"/>
  <c r="W82" i="1" s="1"/>
  <c r="AC82" i="1" s="1"/>
  <c r="AI82" i="1" s="1"/>
  <c r="AO82" i="1" s="1"/>
  <c r="AU82" i="1" s="1"/>
  <c r="BA82" i="1" s="1"/>
  <c r="J81" i="1"/>
  <c r="K81" i="1" s="1"/>
  <c r="Q81" i="1" s="1"/>
  <c r="W81" i="1" s="1"/>
  <c r="AC81" i="1" s="1"/>
  <c r="AI81" i="1" s="1"/>
  <c r="AO81" i="1" s="1"/>
  <c r="AU81" i="1" s="1"/>
  <c r="BA81" i="1" s="1"/>
  <c r="J80" i="1"/>
  <c r="K80" i="1" s="1"/>
  <c r="Q80" i="1" s="1"/>
  <c r="W80" i="1" s="1"/>
  <c r="AC80" i="1" s="1"/>
  <c r="AI80" i="1" s="1"/>
  <c r="AO80" i="1" s="1"/>
  <c r="AU80" i="1" s="1"/>
  <c r="BA80" i="1" s="1"/>
  <c r="J77" i="1"/>
  <c r="K77" i="1" s="1"/>
  <c r="Q77" i="1" s="1"/>
  <c r="W77" i="1" s="1"/>
  <c r="AC77" i="1" s="1"/>
  <c r="AI77" i="1" s="1"/>
  <c r="AO77" i="1" s="1"/>
  <c r="AU77" i="1" s="1"/>
  <c r="BA77" i="1" s="1"/>
  <c r="J76" i="1"/>
  <c r="K76" i="1" s="1"/>
  <c r="Q76" i="1" s="1"/>
  <c r="W76" i="1" s="1"/>
  <c r="AC76" i="1" s="1"/>
  <c r="AI76" i="1" s="1"/>
  <c r="AO76" i="1" s="1"/>
  <c r="AU76" i="1" s="1"/>
  <c r="BA76" i="1" s="1"/>
  <c r="J74" i="1"/>
  <c r="K74" i="1" s="1"/>
  <c r="Q74" i="1" s="1"/>
  <c r="W74" i="1" s="1"/>
  <c r="AC74" i="1" s="1"/>
  <c r="AI74" i="1" s="1"/>
  <c r="AO74" i="1" s="1"/>
  <c r="AU74" i="1" s="1"/>
  <c r="BA74" i="1" s="1"/>
  <c r="J73" i="1"/>
  <c r="K73" i="1" s="1"/>
  <c r="Q73" i="1" s="1"/>
  <c r="W73" i="1" s="1"/>
  <c r="AC73" i="1" s="1"/>
  <c r="AI73" i="1" s="1"/>
  <c r="AO73" i="1" s="1"/>
  <c r="AU73" i="1" s="1"/>
  <c r="BA73" i="1" s="1"/>
  <c r="J72" i="1"/>
  <c r="K72" i="1" s="1"/>
  <c r="Q72" i="1" s="1"/>
  <c r="W72" i="1" s="1"/>
  <c r="AC72" i="1" s="1"/>
  <c r="AI72" i="1" s="1"/>
  <c r="AO72" i="1" s="1"/>
  <c r="AU72" i="1" s="1"/>
  <c r="BA72" i="1" s="1"/>
  <c r="J71" i="1"/>
  <c r="K71" i="1" s="1"/>
  <c r="Q71" i="1" s="1"/>
  <c r="W71" i="1" s="1"/>
  <c r="AC71" i="1" s="1"/>
  <c r="AI71" i="1" s="1"/>
  <c r="AO71" i="1" s="1"/>
  <c r="AU71" i="1" s="1"/>
  <c r="BA71" i="1" s="1"/>
  <c r="J70" i="1"/>
  <c r="K70" i="1" s="1"/>
  <c r="Q70" i="1" s="1"/>
  <c r="W70" i="1" s="1"/>
  <c r="AC70" i="1" s="1"/>
  <c r="AI70" i="1" s="1"/>
  <c r="AO70" i="1" s="1"/>
  <c r="AU70" i="1" s="1"/>
  <c r="BA70" i="1" s="1"/>
  <c r="J69" i="1"/>
  <c r="K69" i="1" s="1"/>
  <c r="Q69" i="1" s="1"/>
  <c r="W69" i="1" s="1"/>
  <c r="AC69" i="1" s="1"/>
  <c r="AI69" i="1" s="1"/>
  <c r="AO69" i="1" s="1"/>
  <c r="AU69" i="1" s="1"/>
  <c r="BA69" i="1" s="1"/>
  <c r="J68" i="1"/>
  <c r="K68" i="1" s="1"/>
  <c r="Q68" i="1" s="1"/>
  <c r="W68" i="1" s="1"/>
  <c r="AC68" i="1" s="1"/>
  <c r="AI68" i="1" s="1"/>
  <c r="AO68" i="1" s="1"/>
  <c r="AU68" i="1" s="1"/>
  <c r="BA68" i="1" s="1"/>
  <c r="J67" i="1"/>
  <c r="K67" i="1" s="1"/>
  <c r="Q67" i="1" s="1"/>
  <c r="W67" i="1" s="1"/>
  <c r="AC67" i="1" s="1"/>
  <c r="AI67" i="1" s="1"/>
  <c r="AO67" i="1" s="1"/>
  <c r="AU67" i="1" s="1"/>
  <c r="BA67" i="1" s="1"/>
  <c r="J66" i="1"/>
  <c r="K66" i="1" s="1"/>
  <c r="Q66" i="1" s="1"/>
  <c r="W66" i="1" s="1"/>
  <c r="AC66" i="1" s="1"/>
  <c r="AI66" i="1" s="1"/>
  <c r="AO66" i="1" s="1"/>
  <c r="AU66" i="1" s="1"/>
  <c r="BA66" i="1" s="1"/>
  <c r="J65" i="1"/>
  <c r="K65" i="1" s="1"/>
  <c r="Q65" i="1" s="1"/>
  <c r="W65" i="1" s="1"/>
  <c r="AC65" i="1" s="1"/>
  <c r="AI65" i="1" s="1"/>
  <c r="AO65" i="1" s="1"/>
  <c r="AU65" i="1" s="1"/>
  <c r="BA65" i="1" s="1"/>
  <c r="J64" i="1"/>
  <c r="K64" i="1" s="1"/>
  <c r="Q64" i="1" s="1"/>
  <c r="W64" i="1" s="1"/>
  <c r="AC64" i="1" s="1"/>
  <c r="AI64" i="1" s="1"/>
  <c r="AO64" i="1" s="1"/>
  <c r="AU64" i="1" s="1"/>
  <c r="BA64" i="1" s="1"/>
  <c r="J63" i="1"/>
  <c r="K63" i="1" s="1"/>
  <c r="Q63" i="1" s="1"/>
  <c r="W63" i="1" s="1"/>
  <c r="AC63" i="1" s="1"/>
  <c r="AI63" i="1" s="1"/>
  <c r="AO63" i="1" s="1"/>
  <c r="AU63" i="1" s="1"/>
  <c r="BA63" i="1" s="1"/>
  <c r="J62" i="1"/>
  <c r="K62" i="1" s="1"/>
  <c r="Q62" i="1" s="1"/>
  <c r="W62" i="1" s="1"/>
  <c r="AC62" i="1" s="1"/>
  <c r="AI62" i="1" s="1"/>
  <c r="AO62" i="1" s="1"/>
  <c r="AU62" i="1" s="1"/>
  <c r="BA62" i="1" s="1"/>
  <c r="J61" i="1"/>
  <c r="K61" i="1" s="1"/>
  <c r="Q61" i="1" s="1"/>
  <c r="W61" i="1" s="1"/>
  <c r="AC61" i="1" s="1"/>
  <c r="AI61" i="1" s="1"/>
  <c r="AO61" i="1" s="1"/>
  <c r="AU61" i="1" s="1"/>
  <c r="BA61" i="1" s="1"/>
  <c r="J60" i="1"/>
  <c r="K60" i="1" s="1"/>
  <c r="Q60" i="1" s="1"/>
  <c r="W60" i="1" s="1"/>
  <c r="AC60" i="1" s="1"/>
  <c r="AI60" i="1" s="1"/>
  <c r="AO60" i="1" s="1"/>
  <c r="AU60" i="1" s="1"/>
  <c r="BA60" i="1" s="1"/>
  <c r="J59" i="1"/>
  <c r="K59" i="1" s="1"/>
  <c r="Q59" i="1" s="1"/>
  <c r="W59" i="1" s="1"/>
  <c r="AC59" i="1" s="1"/>
  <c r="AI59" i="1" s="1"/>
  <c r="AO59" i="1" s="1"/>
  <c r="AU59" i="1" s="1"/>
  <c r="BA59" i="1" s="1"/>
  <c r="J58" i="1"/>
  <c r="K58" i="1" s="1"/>
  <c r="Q58" i="1" s="1"/>
  <c r="W58" i="1" s="1"/>
  <c r="AC58" i="1" s="1"/>
  <c r="AI58" i="1" s="1"/>
  <c r="AO58" i="1" s="1"/>
  <c r="AU58" i="1" s="1"/>
  <c r="BA58" i="1" s="1"/>
  <c r="J57" i="1"/>
  <c r="K57" i="1" s="1"/>
  <c r="Q57" i="1" s="1"/>
  <c r="W57" i="1" s="1"/>
  <c r="AC57" i="1" s="1"/>
  <c r="AI57" i="1" s="1"/>
  <c r="AO57" i="1" s="1"/>
  <c r="AU57" i="1" s="1"/>
  <c r="BA57" i="1" s="1"/>
  <c r="J53" i="1"/>
  <c r="K53" i="1" s="1"/>
  <c r="Q53" i="1" s="1"/>
  <c r="W53" i="1" s="1"/>
  <c r="AC53" i="1" s="1"/>
  <c r="AI53" i="1" s="1"/>
  <c r="AO53" i="1" s="1"/>
  <c r="AU53" i="1" s="1"/>
  <c r="BA53" i="1" s="1"/>
  <c r="J52" i="1"/>
  <c r="K52" i="1" s="1"/>
  <c r="Q52" i="1" s="1"/>
  <c r="W52" i="1" s="1"/>
  <c r="AC52" i="1" s="1"/>
  <c r="AI52" i="1" s="1"/>
  <c r="AO52" i="1" s="1"/>
  <c r="AU52" i="1" s="1"/>
  <c r="BA52" i="1" s="1"/>
  <c r="J51" i="1"/>
  <c r="K51" i="1" s="1"/>
  <c r="Q51" i="1" s="1"/>
  <c r="W51" i="1" s="1"/>
  <c r="AC51" i="1" s="1"/>
  <c r="AI51" i="1" s="1"/>
  <c r="AO51" i="1" s="1"/>
  <c r="AU51" i="1" s="1"/>
  <c r="BA51" i="1" s="1"/>
  <c r="J50" i="1"/>
  <c r="K50" i="1" s="1"/>
  <c r="Q50" i="1" s="1"/>
  <c r="W50" i="1" s="1"/>
  <c r="AC50" i="1" s="1"/>
  <c r="AI50" i="1" s="1"/>
  <c r="AO50" i="1" s="1"/>
  <c r="AU50" i="1" s="1"/>
  <c r="BA50" i="1" s="1"/>
  <c r="J49" i="1"/>
  <c r="K49" i="1" s="1"/>
  <c r="Q49" i="1" s="1"/>
  <c r="W49" i="1" s="1"/>
  <c r="AC49" i="1" s="1"/>
  <c r="AI49" i="1" s="1"/>
  <c r="AO49" i="1" s="1"/>
  <c r="AU49" i="1" s="1"/>
  <c r="BA49" i="1" s="1"/>
  <c r="J48" i="1"/>
  <c r="K48" i="1" s="1"/>
  <c r="Q48" i="1" s="1"/>
  <c r="W48" i="1" s="1"/>
  <c r="AC48" i="1" s="1"/>
  <c r="AI48" i="1" s="1"/>
  <c r="AO48" i="1" s="1"/>
  <c r="AU48" i="1" s="1"/>
  <c r="BA48" i="1" s="1"/>
  <c r="J46" i="1"/>
  <c r="K46" i="1" s="1"/>
  <c r="Q46" i="1" s="1"/>
  <c r="W46" i="1" s="1"/>
  <c r="AC46" i="1" s="1"/>
  <c r="AI46" i="1" s="1"/>
  <c r="AO46" i="1" s="1"/>
  <c r="AU46" i="1" s="1"/>
  <c r="BA46" i="1" s="1"/>
  <c r="J43" i="1"/>
  <c r="K43" i="1" s="1"/>
  <c r="Q43" i="1" s="1"/>
  <c r="W43" i="1" s="1"/>
  <c r="AC43" i="1" s="1"/>
  <c r="AI43" i="1" s="1"/>
  <c r="AO43" i="1" s="1"/>
  <c r="AU43" i="1" s="1"/>
  <c r="BA43" i="1" s="1"/>
  <c r="J42" i="1"/>
  <c r="K42" i="1" s="1"/>
  <c r="Q42" i="1" s="1"/>
  <c r="W42" i="1" s="1"/>
  <c r="AC42" i="1" s="1"/>
  <c r="AI42" i="1" s="1"/>
  <c r="AO42" i="1" s="1"/>
  <c r="AU42" i="1" s="1"/>
  <c r="BA42" i="1" s="1"/>
  <c r="J41" i="1"/>
  <c r="K41" i="1" s="1"/>
  <c r="Q41" i="1" s="1"/>
  <c r="W41" i="1" s="1"/>
  <c r="AC41" i="1" s="1"/>
  <c r="AI41" i="1" s="1"/>
  <c r="AO41" i="1" s="1"/>
  <c r="AU41" i="1" s="1"/>
  <c r="BA41" i="1" s="1"/>
  <c r="J40" i="1"/>
  <c r="K40" i="1" s="1"/>
  <c r="Q40" i="1" s="1"/>
  <c r="W40" i="1" s="1"/>
  <c r="AC40" i="1" s="1"/>
  <c r="AI40" i="1" s="1"/>
  <c r="AO40" i="1" s="1"/>
  <c r="AU40" i="1" s="1"/>
  <c r="BA40" i="1" s="1"/>
  <c r="J39" i="1"/>
  <c r="K39" i="1" s="1"/>
  <c r="Q39" i="1" s="1"/>
  <c r="W39" i="1" s="1"/>
  <c r="AC39" i="1" s="1"/>
  <c r="AI39" i="1" s="1"/>
  <c r="AO39" i="1" s="1"/>
  <c r="AU39" i="1" s="1"/>
  <c r="BA39" i="1" s="1"/>
  <c r="J38" i="1"/>
  <c r="K38" i="1" s="1"/>
  <c r="Q38" i="1" s="1"/>
  <c r="W38" i="1" s="1"/>
  <c r="AC38" i="1" s="1"/>
  <c r="AI38" i="1" s="1"/>
  <c r="AO38" i="1" s="1"/>
  <c r="AU38" i="1" s="1"/>
  <c r="BA38" i="1" s="1"/>
  <c r="J37" i="1"/>
  <c r="K37" i="1" s="1"/>
  <c r="Q37" i="1" s="1"/>
  <c r="W37" i="1" s="1"/>
  <c r="AC37" i="1" s="1"/>
  <c r="AI37" i="1" s="1"/>
  <c r="AO37" i="1" s="1"/>
  <c r="AU37" i="1" s="1"/>
  <c r="BA37" i="1" s="1"/>
  <c r="J36" i="1"/>
  <c r="K36" i="1" s="1"/>
  <c r="Q36" i="1" s="1"/>
  <c r="W36" i="1" s="1"/>
  <c r="AC36" i="1" s="1"/>
  <c r="AI36" i="1" s="1"/>
  <c r="AO36" i="1" s="1"/>
  <c r="AU36" i="1" s="1"/>
  <c r="BA36" i="1" s="1"/>
  <c r="J35" i="1"/>
  <c r="K35" i="1" s="1"/>
  <c r="Q35" i="1" s="1"/>
  <c r="W35" i="1" s="1"/>
  <c r="AC35" i="1" s="1"/>
  <c r="AI35" i="1" s="1"/>
  <c r="AO35" i="1" s="1"/>
  <c r="AU35" i="1" s="1"/>
  <c r="BA35" i="1" s="1"/>
  <c r="J34" i="1"/>
  <c r="K34" i="1" s="1"/>
  <c r="Q34" i="1" s="1"/>
  <c r="W34" i="1" s="1"/>
  <c r="AC34" i="1" s="1"/>
  <c r="AI34" i="1" s="1"/>
  <c r="AO34" i="1" s="1"/>
  <c r="AU34" i="1" s="1"/>
  <c r="BA34" i="1" s="1"/>
  <c r="J33" i="1"/>
  <c r="K33" i="1" s="1"/>
  <c r="Q33" i="1" s="1"/>
  <c r="W33" i="1" s="1"/>
  <c r="AC33" i="1" s="1"/>
  <c r="AI33" i="1" s="1"/>
  <c r="AO33" i="1" s="1"/>
  <c r="AU33" i="1" s="1"/>
  <c r="BA33" i="1" s="1"/>
  <c r="J32" i="1"/>
  <c r="K32" i="1" s="1"/>
  <c r="Q32" i="1" s="1"/>
  <c r="W32" i="1" s="1"/>
  <c r="AC32" i="1" s="1"/>
  <c r="AI32" i="1" s="1"/>
  <c r="AO32" i="1" s="1"/>
  <c r="AU32" i="1" s="1"/>
  <c r="BA32" i="1" s="1"/>
  <c r="J31" i="1"/>
  <c r="K31" i="1" s="1"/>
  <c r="Q31" i="1" s="1"/>
  <c r="W31" i="1" s="1"/>
  <c r="AC31" i="1" s="1"/>
  <c r="AI31" i="1" s="1"/>
  <c r="AO31" i="1" s="1"/>
  <c r="AU31" i="1" s="1"/>
  <c r="BA31" i="1" s="1"/>
  <c r="J30" i="1"/>
  <c r="K30" i="1" s="1"/>
  <c r="Q30" i="1" s="1"/>
  <c r="W30" i="1" s="1"/>
  <c r="AC30" i="1" s="1"/>
  <c r="AI30" i="1" s="1"/>
  <c r="AO30" i="1" s="1"/>
  <c r="AU30" i="1" s="1"/>
  <c r="BA30" i="1" s="1"/>
  <c r="J29" i="1"/>
  <c r="K29" i="1" s="1"/>
  <c r="Q29" i="1" s="1"/>
  <c r="W29" i="1" s="1"/>
  <c r="AC29" i="1" s="1"/>
  <c r="AI29" i="1" s="1"/>
  <c r="AO29" i="1" s="1"/>
  <c r="AU29" i="1" s="1"/>
  <c r="BA29" i="1" s="1"/>
  <c r="J28" i="1"/>
  <c r="K28" i="1" s="1"/>
  <c r="Q28" i="1" s="1"/>
  <c r="W28" i="1" s="1"/>
  <c r="AC28" i="1" s="1"/>
  <c r="AI28" i="1" s="1"/>
  <c r="AO28" i="1" s="1"/>
  <c r="AU28" i="1" s="1"/>
  <c r="BA28" i="1" s="1"/>
  <c r="J27" i="1"/>
  <c r="K27" i="1" s="1"/>
  <c r="Q27" i="1" s="1"/>
  <c r="W27" i="1" s="1"/>
  <c r="AC27" i="1" s="1"/>
  <c r="AI27" i="1" s="1"/>
  <c r="AO27" i="1" s="1"/>
  <c r="AU27" i="1" s="1"/>
  <c r="BA27" i="1" s="1"/>
  <c r="J26" i="1"/>
  <c r="K26" i="1" s="1"/>
  <c r="Q26" i="1" s="1"/>
  <c r="W26" i="1" s="1"/>
  <c r="AC26" i="1" s="1"/>
  <c r="AI26" i="1" s="1"/>
  <c r="AO26" i="1" s="1"/>
  <c r="J25" i="1"/>
  <c r="K25" i="1" s="1"/>
  <c r="Q25" i="1" s="1"/>
  <c r="W25" i="1" s="1"/>
  <c r="AC25" i="1" s="1"/>
  <c r="AI25" i="1" s="1"/>
  <c r="AO25" i="1" s="1"/>
  <c r="AU25" i="1" s="1"/>
  <c r="BA25" i="1" s="1"/>
  <c r="J24" i="1"/>
  <c r="K24" i="1" s="1"/>
  <c r="Q24" i="1" s="1"/>
  <c r="W24" i="1" s="1"/>
  <c r="AC24" i="1" s="1"/>
  <c r="AI24" i="1" s="1"/>
  <c r="AO24" i="1" s="1"/>
  <c r="AU24" i="1" s="1"/>
  <c r="BA24" i="1" s="1"/>
  <c r="J23" i="1"/>
  <c r="K23" i="1" s="1"/>
  <c r="Q23" i="1" s="1"/>
  <c r="W23" i="1" s="1"/>
  <c r="AC23" i="1" s="1"/>
  <c r="AI23" i="1" s="1"/>
  <c r="AO23" i="1" s="1"/>
  <c r="AU23" i="1" s="1"/>
  <c r="BA23" i="1" s="1"/>
  <c r="J22" i="1"/>
  <c r="K22" i="1" s="1"/>
  <c r="Q22" i="1" s="1"/>
  <c r="W22" i="1" s="1"/>
  <c r="AC22" i="1" s="1"/>
  <c r="AI22" i="1" s="1"/>
  <c r="AO22" i="1" s="1"/>
  <c r="AU22" i="1" s="1"/>
  <c r="BA22" i="1" s="1"/>
  <c r="J21" i="1"/>
  <c r="K21" i="1" s="1"/>
  <c r="Q21" i="1" s="1"/>
  <c r="W21" i="1" s="1"/>
  <c r="AC21" i="1" s="1"/>
  <c r="AI21" i="1" s="1"/>
  <c r="AO21" i="1" s="1"/>
  <c r="AU21" i="1" s="1"/>
  <c r="BA21" i="1" s="1"/>
  <c r="J20" i="1"/>
  <c r="K20" i="1" s="1"/>
  <c r="Q20" i="1" s="1"/>
  <c r="W20" i="1" s="1"/>
  <c r="AC20" i="1" s="1"/>
  <c r="AI20" i="1" s="1"/>
  <c r="AO20" i="1" s="1"/>
  <c r="AU20" i="1" s="1"/>
  <c r="BA20" i="1" s="1"/>
  <c r="J19" i="1"/>
  <c r="K19" i="1" s="1"/>
  <c r="Q19" i="1" s="1"/>
  <c r="W19" i="1" s="1"/>
  <c r="AC19" i="1" s="1"/>
  <c r="AI19" i="1" s="1"/>
  <c r="AO19" i="1" s="1"/>
  <c r="AU19" i="1" s="1"/>
  <c r="BA19" i="1" s="1"/>
  <c r="J18" i="1"/>
  <c r="K18" i="1" s="1"/>
  <c r="Q18" i="1" s="1"/>
  <c r="W18" i="1" s="1"/>
  <c r="AC18" i="1" s="1"/>
  <c r="AI18" i="1" s="1"/>
  <c r="AO18" i="1" s="1"/>
  <c r="AU18" i="1" s="1"/>
  <c r="BA18" i="1" s="1"/>
  <c r="J17" i="1"/>
  <c r="K17" i="1" s="1"/>
  <c r="Q17" i="1" s="1"/>
  <c r="W17" i="1" s="1"/>
  <c r="AC17" i="1" s="1"/>
  <c r="AI17" i="1" s="1"/>
  <c r="AO17" i="1" s="1"/>
  <c r="AU17" i="1" s="1"/>
  <c r="BA17" i="1" s="1"/>
  <c r="J16" i="1"/>
  <c r="K16" i="1" s="1"/>
  <c r="Q16" i="1" s="1"/>
  <c r="W16" i="1" s="1"/>
  <c r="AC16" i="1" s="1"/>
  <c r="AI16" i="1" s="1"/>
  <c r="AO16" i="1" s="1"/>
  <c r="AU16" i="1" s="1"/>
  <c r="BA16" i="1" s="1"/>
  <c r="J14" i="1"/>
  <c r="K14" i="1" s="1"/>
  <c r="Q14" i="1" s="1"/>
  <c r="W14" i="1" s="1"/>
  <c r="AC14" i="1" s="1"/>
  <c r="AI14" i="1" s="1"/>
  <c r="AO14" i="1" s="1"/>
  <c r="AU14" i="1" s="1"/>
  <c r="BA14" i="1" s="1"/>
  <c r="J13" i="1"/>
  <c r="K13" i="1" s="1"/>
  <c r="Q13" i="1" s="1"/>
  <c r="W13" i="1" s="1"/>
  <c r="AC13" i="1" s="1"/>
  <c r="AI13" i="1" s="1"/>
  <c r="AO13" i="1" s="1"/>
  <c r="AU13" i="1" s="1"/>
  <c r="BA13" i="1" s="1"/>
  <c r="J12" i="1"/>
  <c r="K12" i="1" s="1"/>
  <c r="Q12" i="1" s="1"/>
  <c r="W12" i="1" s="1"/>
  <c r="AC12" i="1" s="1"/>
  <c r="AI12" i="1" s="1"/>
  <c r="AO12" i="1" s="1"/>
  <c r="AU12" i="1" s="1"/>
  <c r="BA12" i="1" s="1"/>
  <c r="J11" i="1"/>
  <c r="K11" i="1" s="1"/>
  <c r="Q11" i="1" s="1"/>
  <c r="W11" i="1" s="1"/>
  <c r="AC11" i="1" s="1"/>
  <c r="AI11" i="1" s="1"/>
  <c r="AO11" i="1" s="1"/>
  <c r="AU11" i="1" s="1"/>
  <c r="BA11" i="1" s="1"/>
  <c r="J10" i="1"/>
  <c r="K10" i="1" s="1"/>
  <c r="Q10" i="1" s="1"/>
  <c r="W10" i="1" s="1"/>
  <c r="AC10" i="1" s="1"/>
  <c r="AI10" i="1" s="1"/>
  <c r="AO10" i="1" s="1"/>
  <c r="AU10" i="1" s="1"/>
  <c r="BA10" i="1" s="1"/>
  <c r="J9" i="1"/>
  <c r="K9" i="1" s="1"/>
  <c r="Q9" i="1" s="1"/>
  <c r="W9" i="1" s="1"/>
  <c r="AC9" i="1" s="1"/>
  <c r="AI9" i="1" s="1"/>
  <c r="AO9" i="1" s="1"/>
  <c r="AU9" i="1" s="1"/>
  <c r="BA9" i="1" s="1"/>
  <c r="J8" i="1"/>
  <c r="K8" i="1" s="1"/>
  <c r="Q8" i="1" s="1"/>
  <c r="W8" i="1" s="1"/>
  <c r="AC8" i="1" s="1"/>
  <c r="AI8" i="1" s="1"/>
  <c r="AO8" i="1" s="1"/>
  <c r="AU8" i="1" s="1"/>
  <c r="BA8" i="1" s="1"/>
  <c r="J7" i="1"/>
  <c r="K7" i="1" s="1"/>
  <c r="Q7" i="1" s="1"/>
  <c r="W7" i="1" s="1"/>
  <c r="AC7" i="1" s="1"/>
  <c r="AI7" i="1" s="1"/>
  <c r="AO7" i="1" s="1"/>
  <c r="AU7" i="1" s="1"/>
  <c r="BA7" i="1" s="1"/>
  <c r="J5" i="1"/>
  <c r="K5" i="1" s="1"/>
  <c r="Q5" i="1" s="1"/>
  <c r="W5" i="1" s="1"/>
  <c r="AC5" i="1" s="1"/>
  <c r="AI5" i="1" s="1"/>
  <c r="AO5" i="1" s="1"/>
  <c r="AU5" i="1" s="1"/>
  <c r="BA5" i="1" s="1"/>
  <c r="J4" i="1"/>
  <c r="K4" i="1" s="1"/>
  <c r="Q4" i="1" s="1"/>
  <c r="W4" i="1" s="1"/>
  <c r="AC4" i="1" s="1"/>
  <c r="AI4" i="1" s="1"/>
  <c r="AO4" i="1" s="1"/>
  <c r="AU4" i="1" s="1"/>
  <c r="BA4" i="1" s="1"/>
  <c r="K3" i="1"/>
  <c r="Q3" i="1" s="1"/>
  <c r="F89" i="1"/>
  <c r="F83" i="1"/>
  <c r="F82" i="1"/>
  <c r="F81" i="1"/>
  <c r="F80" i="1"/>
  <c r="F77" i="1"/>
  <c r="F76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3" i="1"/>
  <c r="F52" i="1"/>
  <c r="F51" i="1"/>
  <c r="F50" i="1"/>
  <c r="F49" i="1"/>
  <c r="F48" i="1"/>
  <c r="F46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4" i="1"/>
  <c r="F13" i="1"/>
  <c r="F12" i="1"/>
  <c r="F11" i="1"/>
  <c r="F10" i="1"/>
  <c r="F9" i="1"/>
  <c r="F8" i="1"/>
  <c r="F7" i="1"/>
  <c r="F6" i="1"/>
  <c r="F5" i="1"/>
  <c r="F4" i="1"/>
  <c r="F3" i="1"/>
  <c r="BA107" i="1" l="1"/>
  <c r="AU26" i="1"/>
  <c r="BA26" i="1" s="1"/>
  <c r="O86" i="1"/>
  <c r="P86" i="1" s="1"/>
  <c r="Q86" i="1" s="1"/>
  <c r="W86" i="1" s="1"/>
  <c r="AC86" i="1" s="1"/>
  <c r="AI86" i="1" s="1"/>
  <c r="AO86" i="1" s="1"/>
  <c r="AU86" i="1" s="1"/>
  <c r="BA86" i="1" s="1"/>
  <c r="W3" i="1"/>
  <c r="AC3" i="1" s="1"/>
  <c r="AI3" i="1" s="1"/>
  <c r="AO3" i="1" s="1"/>
  <c r="AU3" i="1" s="1"/>
  <c r="BA3" i="1" s="1"/>
</calcChain>
</file>

<file path=xl/sharedStrings.xml><?xml version="1.0" encoding="utf-8"?>
<sst xmlns="http://schemas.openxmlformats.org/spreadsheetml/2006/main" count="308" uniqueCount="149">
  <si>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</si>
  <si>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</si>
  <si>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</si>
  <si>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</si>
  <si>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</si>
  <si>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</si>
  <si>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</si>
  <si>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</si>
  <si>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</si>
  <si>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</si>
  <si>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</si>
  <si>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PROGRAMA</t>
  </si>
  <si>
    <t>NOMBRE COMPLETO DEL CONTRATISTA</t>
  </si>
  <si>
    <t># DE DOCUMENTO</t>
  </si>
  <si>
    <t>INICIO DEL CONTRATO</t>
  </si>
  <si>
    <t>FECHA FIN DEL CONTRATO</t>
  </si>
  <si>
    <t>Horas requeridas por contrato</t>
  </si>
  <si>
    <t>Horas académicas</t>
  </si>
  <si>
    <t>Horas Adicionales</t>
  </si>
  <si>
    <t>Total Horas</t>
  </si>
  <si>
    <t>Horas por compensar</t>
  </si>
  <si>
    <t>horas a compensar feb-marzo</t>
  </si>
  <si>
    <t>horas a compensar marzo - abril</t>
  </si>
  <si>
    <t>horas a compensar Abril- Mayo</t>
  </si>
  <si>
    <t>Horas por compensar mayo-junio</t>
  </si>
  <si>
    <t>Horas directas a formacion</t>
  </si>
  <si>
    <t>Horas por compensar Junio - Julio</t>
  </si>
  <si>
    <t>Horas por compensar JULIO_AGOSTO</t>
  </si>
  <si>
    <t>Horas por comp agosto y sep</t>
  </si>
  <si>
    <t>Horas por compensar septiembre y octubre</t>
  </si>
  <si>
    <t>Horas por compensar octubre y noviembre</t>
  </si>
  <si>
    <t>CAMPESENA</t>
  </si>
  <si>
    <t xml:space="preserve">FREDY ESCARRAGA GOMEZ </t>
  </si>
  <si>
    <t>NISNORY VALENCIA HURTADO</t>
  </si>
  <si>
    <t>MARTHA CECILIA AVILA PEREZ</t>
  </si>
  <si>
    <t>CARLOS ALBERTO CAMACHO</t>
  </si>
  <si>
    <t>LINA FERNANDA GOMEZ ERAZO</t>
  </si>
  <si>
    <t>ALICIA RUIZ COLLAZOS</t>
  </si>
  <si>
    <t>VEILYS RAMOS GALINDO</t>
  </si>
  <si>
    <t>VALENTINA VIVEROS PALACIOS</t>
  </si>
  <si>
    <t xml:space="preserve">LORENA ANDREA ALVAREZ </t>
  </si>
  <si>
    <t>FERNANDO NAVIA HERNANDEZ</t>
  </si>
  <si>
    <t>JOHAN EDUARDO RIVERA CAICEDO</t>
  </si>
  <si>
    <t>ELIANA FLOREZ MUÑOZ</t>
  </si>
  <si>
    <t>DANNY VALVERDE MARTINEZ</t>
  </si>
  <si>
    <t>SHIRLEY GENOVER HURTADO HURTADO</t>
  </si>
  <si>
    <t>CINDY TATIANA ZUÑIGA PEREZ</t>
  </si>
  <si>
    <t>JHON JAIRO ORDONEZ DELGADO</t>
  </si>
  <si>
    <t>BLANCA STELLA ALEGRIA OCAMPO</t>
  </si>
  <si>
    <t>MARCO ANTONIO PABON GRUESO</t>
  </si>
  <si>
    <t>SILVIA MARIA MUÑOZ MONCAYO</t>
  </si>
  <si>
    <t>ALEXANDER GARCES TORO</t>
  </si>
  <si>
    <t>CLAUDIA ANDREA SUAREZ</t>
  </si>
  <si>
    <t>CARLOS MANUEL BUCHELI CALLEJAS</t>
  </si>
  <si>
    <t>PAOLA ANDREA VARGAS TELLO</t>
  </si>
  <si>
    <t xml:space="preserve">JUCCIET DEL PILAR TRUEQUE PAEZ
</t>
  </si>
  <si>
    <t xml:space="preserve">MARTHA LUCIA SANCLEMENTE DAZA
</t>
  </si>
  <si>
    <t xml:space="preserve">SILVIA MARITZA MOSQUERA
</t>
  </si>
  <si>
    <t>ADRIANA CAROLINA HENAO</t>
  </si>
  <si>
    <t>CHRISTIAN CAMILO RUIZ</t>
  </si>
  <si>
    <t>SIXTA MAYELI LOPEZ</t>
  </si>
  <si>
    <t>PABLO ANTONIO CHACON</t>
  </si>
  <si>
    <t>ANGGIE MARCELA DIAZ FERNANDEZ</t>
  </si>
  <si>
    <t xml:space="preserve">COMPLEMENTARIA </t>
  </si>
  <si>
    <t>GIZETH TATIANA CHAMORRO CASTRO</t>
  </si>
  <si>
    <t>LORENA PATRICIA CABRERA TABORDA</t>
  </si>
  <si>
    <t>VICTORIA EUGENIA FANDIÑO PIAMBA</t>
  </si>
  <si>
    <t>FERNEY MAYORGA BECERRA</t>
  </si>
  <si>
    <t>FRANCIA INES CAMPO PIZARRO</t>
  </si>
  <si>
    <t>DANIEL MAURICIO TALAGA RODRIGUEZ</t>
  </si>
  <si>
    <t>ESTEBAN ANDRÉS ORTEGA</t>
  </si>
  <si>
    <t>JONATHAN ALFONSO HINESTROZA CORTES</t>
  </si>
  <si>
    <t>JAIRO FERNANDO ORDOÑEZ LORA</t>
  </si>
  <si>
    <t>LEIDY YOHANA ORTEGA RUANO</t>
  </si>
  <si>
    <t>DIANA PATRICIA MUÑOZ ORTIZ</t>
  </si>
  <si>
    <t>KEVIN ANDRES BERNAL CIFUENTES</t>
  </si>
  <si>
    <t>GABRIELA SOLARTE BUSTAMANTE</t>
  </si>
  <si>
    <t>ROSIRIS SOFIA LIZCANO MORALES</t>
  </si>
  <si>
    <t>YOLANDA MONTENEGRO LOPEZ</t>
  </si>
  <si>
    <t>CHRISTIAN DAVID URBANO</t>
  </si>
  <si>
    <t>JOSE GILBERTO JURADO</t>
  </si>
  <si>
    <t>ROBINSON CAMILO GONZALEZ</t>
  </si>
  <si>
    <t>XIMENA BUITRON</t>
  </si>
  <si>
    <t>INGRITH TATIANA RUIZ RUIZ</t>
  </si>
  <si>
    <t>MARIA FERNANDA LEGARDA</t>
  </si>
  <si>
    <t>HECTOR GERMAN BETANCUR</t>
  </si>
  <si>
    <t>JORGE FERNANDO MINA</t>
  </si>
  <si>
    <t>JUAN DAVID PAREDES ORDOÑEZ</t>
  </si>
  <si>
    <t>SANDRA LIZETH BURBANO</t>
  </si>
  <si>
    <t>AURA YANED DAZA GOMEZ</t>
  </si>
  <si>
    <t>LEIDY VIVIANA QUIÑONEZ SALAMANCA</t>
  </si>
  <si>
    <t>ANDRES GERARDO ROJAS</t>
  </si>
  <si>
    <t>HILDA ROCIO ASTUDILLO ESCOBAR</t>
  </si>
  <si>
    <t>VANESSA LUZANGELA TRUJILLO ARZAYUS</t>
  </si>
  <si>
    <t>LILY PAULINA ESCALANTE DOMINGUEZ</t>
  </si>
  <si>
    <t>RONALD ALBERTO TUMBO RUIZ</t>
  </si>
  <si>
    <t>ALEX STEVEN CABRERA ROJAS</t>
  </si>
  <si>
    <t>DIEGO IVAN ARCOS ORTIZ</t>
  </si>
  <si>
    <t>DESPLAZADOS</t>
  </si>
  <si>
    <t>LILIANA FERNÁNDEZ PIAMBA</t>
  </si>
  <si>
    <t>SANDRA LILIANA HURTADO</t>
  </si>
  <si>
    <t>ESTHER JULIA ANDRADE CAMPO</t>
  </si>
  <si>
    <t>EDWIN STEVEN JURADO MARTINEZ</t>
  </si>
  <si>
    <t>MARIA DEISY FALLA VASQUEZ</t>
  </si>
  <si>
    <t>LUZ DARY FALLA VASQUEZ.</t>
  </si>
  <si>
    <t>LEYDI FABIOLA PEJENDINO PIANDOY</t>
  </si>
  <si>
    <t>AIDA HERNANDEZ DE DUQUE</t>
  </si>
  <si>
    <t>MARÍA FERNANDA HOYOS ORTEGA</t>
  </si>
  <si>
    <t>LUIS CARLOS SALAZAR BOLAÑOS</t>
  </si>
  <si>
    <t>SONIA INES ERAZO SALCEDO</t>
  </si>
  <si>
    <t>ECONOMIA POPULAR</t>
  </si>
  <si>
    <t>RONALD DAVID HERRERA</t>
  </si>
  <si>
    <t>LUIS MIGUEL SEVILLA ESPAÑA</t>
  </si>
  <si>
    <t>LUISA FERNANDA NAVIA RUIZ</t>
  </si>
  <si>
    <t>ANDRES FELIPE DAZA SANCHEZ</t>
  </si>
  <si>
    <t>CAMPESENA FORTALECIMIENTO</t>
  </si>
  <si>
    <t>VALERIA MARCELA LÓPEZ MUÑOZ</t>
  </si>
  <si>
    <t>PAOLA ALEXANDRA CERON AGREDO</t>
  </si>
  <si>
    <t>FIDELINA CAMPO GIRON</t>
  </si>
  <si>
    <t>CRISTIAN ANDRES GIRON MANZANO</t>
  </si>
  <si>
    <t>ELISA CECILIA SINISTERRA LANDAZURI</t>
  </si>
  <si>
    <t>RAQUEL VIVIVIANA PLAZA GALVIS</t>
  </si>
  <si>
    <t>CAROLL VIOLETA LOPEZ OÑATE</t>
  </si>
  <si>
    <t>ARTICULACION</t>
  </si>
  <si>
    <t>PEDRO FELIPE VALVERDE</t>
  </si>
  <si>
    <t>VIVIANA ANDREA RIVERA REINOSO</t>
  </si>
  <si>
    <t>CRISTINA  BUITRON PINTO</t>
  </si>
  <si>
    <t>BRENDA WUILNELIA MEDINA CASTRO</t>
  </si>
  <si>
    <t>ANDREA  BEDON DIAZ</t>
  </si>
  <si>
    <t>MARILIN VELASCO VELEZ</t>
  </si>
  <si>
    <t>SANDRA YINETH  MACIAS SAMBONI</t>
  </si>
  <si>
    <t>JHON JAMILTON CHARO OROZCO</t>
  </si>
  <si>
    <t>EDGAR VERNAZA ARBOLEDA</t>
  </si>
  <si>
    <t>JORGE ENRIQUE SANCHEZ PINO</t>
  </si>
  <si>
    <t>JHON  JAIRO BUITRAGO PASTRANA</t>
  </si>
  <si>
    <t>ANA MILENA SOLARTE GAMBOA</t>
  </si>
  <si>
    <t xml:space="preserve">MARTHA PATRICIA FERNANDEZ </t>
  </si>
  <si>
    <t>JOSE ANTONIO PAREDES</t>
  </si>
  <si>
    <t>30/11/2026</t>
  </si>
  <si>
    <t>CARLOS ANDRES CERON</t>
  </si>
  <si>
    <t>LUZ KATHERINE SINISTERRRA LANDAZURI</t>
  </si>
  <si>
    <t>30/06/2025</t>
  </si>
  <si>
    <t>LUZ KATHERINE SINISTERRA LANDAZURI</t>
  </si>
  <si>
    <t>PLANTA</t>
  </si>
  <si>
    <t>ADRIANA CONSTANZA PAVAS</t>
  </si>
  <si>
    <t>HAROL ARMANDO ROSERO</t>
  </si>
  <si>
    <t>MONICA RODRIGUEZ CERON</t>
  </si>
  <si>
    <t>LUZ CARIME CHIA</t>
  </si>
  <si>
    <t>JHON ALEXANDER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</si>
</sst>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  <font>
      <sz val="10"/>
      <color rgb="FF000000"/>
      <name val="Calibri"/>
    </font>
    <font>
      <b/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64EF05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2">
    <xf numFmtId="0" fontId="0" fillId="0" borderId="0" xfId="0"/>
    <xf numFmtId="0" fontId="5" fillId="0" borderId="0" xfId="0" applyFont="1"/>
    <xf numFmtId="0" fontId="4" fillId="3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readingOrder="1"/>
    </xf>
    <xf numFmtId="0" fontId="0" fillId="5" borderId="9" xfId="0" applyFill="1" applyBorder="1"/>
    <xf numFmtId="0" fontId="6" fillId="5" borderId="6" xfId="0" applyFont="1" applyFill="1" applyBorder="1"/>
    <xf numFmtId="0" fontId="6" fillId="5" borderId="6" xfId="0" applyFont="1" applyFill="1" applyBorder="1" applyAlignment="1">
      <alignment readingOrder="1"/>
    </xf>
    <xf numFmtId="0" fontId="0" fillId="5" borderId="6" xfId="0" applyFill="1" applyBorder="1"/>
    <xf numFmtId="0" fontId="6" fillId="4" borderId="6" xfId="0" applyFont="1" applyFill="1" applyBorder="1" applyAlignment="1">
      <alignment vertical="center"/>
    </xf>
    <xf numFmtId="0" fontId="6" fillId="4" borderId="6" xfId="0" applyFont="1" applyFill="1" applyBorder="1"/>
    <xf numFmtId="0" fontId="6" fillId="5" borderId="6" xfId="0" applyFont="1" applyFill="1" applyBorder="1" applyAlignment="1">
      <alignment vertical="center"/>
    </xf>
    <xf numFmtId="14" fontId="0" fillId="4" borderId="6" xfId="0" applyNumberFormat="1" applyFill="1" applyBorder="1"/>
    <xf numFmtId="14" fontId="0" fillId="5" borderId="6" xfId="0" applyNumberFormat="1" applyFill="1" applyBorder="1"/>
    <xf numFmtId="0" fontId="0" fillId="6" borderId="10" xfId="0" applyFill="1" applyBorder="1" applyAlignment="1">
      <alignment readingOrder="1"/>
    </xf>
    <xf numFmtId="0" fontId="6" fillId="6" borderId="10" xfId="0" applyFont="1" applyFill="1" applyBorder="1" applyAlignment="1">
      <alignment vertical="center"/>
    </xf>
    <xf numFmtId="14" fontId="2" fillId="6" borderId="10" xfId="0" applyNumberFormat="1" applyFont="1" applyFill="1" applyBorder="1"/>
    <xf numFmtId="0" fontId="0" fillId="6" borderId="6" xfId="0" applyFill="1" applyBorder="1" applyAlignment="1">
      <alignment readingOrder="1"/>
    </xf>
    <xf numFmtId="0" fontId="6" fillId="6" borderId="6" xfId="0" applyFont="1" applyFill="1" applyBorder="1" applyAlignment="1">
      <alignment vertical="center"/>
    </xf>
    <xf numFmtId="14" fontId="2" fillId="6" borderId="6" xfId="0" applyNumberFormat="1" applyFont="1" applyFill="1" applyBorder="1"/>
    <xf numFmtId="0" fontId="6" fillId="6" borderId="6" xfId="0" applyFont="1" applyFill="1" applyBorder="1" applyAlignment="1">
      <alignment horizontal="right" vertical="center"/>
    </xf>
    <xf numFmtId="0" fontId="5" fillId="6" borderId="6" xfId="0" applyFont="1" applyFill="1" applyBorder="1" applyAlignment="1">
      <alignment vertical="center"/>
    </xf>
    <xf numFmtId="0" fontId="7" fillId="6" borderId="6" xfId="0" applyFont="1" applyFill="1" applyBorder="1"/>
    <xf numFmtId="0" fontId="0" fillId="6" borderId="6" xfId="0" applyFill="1" applyBorder="1"/>
    <xf numFmtId="14" fontId="2" fillId="6" borderId="0" xfId="0" applyNumberFormat="1" applyFont="1" applyFill="1"/>
    <xf numFmtId="0" fontId="0" fillId="4" borderId="11" xfId="0" applyFill="1" applyBorder="1" applyAlignment="1">
      <alignment readingOrder="1"/>
    </xf>
    <xf numFmtId="0" fontId="0" fillId="4" borderId="10" xfId="0" applyFill="1" applyBorder="1" applyAlignment="1">
      <alignment readingOrder="1"/>
    </xf>
    <xf numFmtId="0" fontId="6" fillId="4" borderId="10" xfId="0" applyFont="1" applyFill="1" applyBorder="1" applyAlignment="1">
      <alignment vertical="center"/>
    </xf>
    <xf numFmtId="14" fontId="0" fillId="4" borderId="10" xfId="0" applyNumberFormat="1" applyFill="1" applyBorder="1"/>
    <xf numFmtId="0" fontId="0" fillId="4" borderId="9" xfId="0" applyFill="1" applyBorder="1" applyAlignment="1">
      <alignment readingOrder="1"/>
    </xf>
    <xf numFmtId="14" fontId="0" fillId="4" borderId="6" xfId="1" applyNumberFormat="1" applyFont="1" applyFill="1" applyBorder="1"/>
    <xf numFmtId="0" fontId="6" fillId="4" borderId="6" xfId="0" applyFont="1" applyFill="1" applyBorder="1" applyAlignment="1">
      <alignment readingOrder="1"/>
    </xf>
    <xf numFmtId="0" fontId="0" fillId="0" borderId="3" xfId="0" applyBorder="1"/>
    <xf numFmtId="14" fontId="0" fillId="4" borderId="2" xfId="0" applyNumberFormat="1" applyFill="1" applyBorder="1"/>
    <xf numFmtId="14" fontId="2" fillId="6" borderId="12" xfId="0" applyNumberFormat="1" applyFont="1" applyFill="1" applyBorder="1"/>
    <xf numFmtId="14" fontId="2" fillId="6" borderId="2" xfId="0" applyNumberFormat="1" applyFont="1" applyFill="1" applyBorder="1"/>
    <xf numFmtId="14" fontId="0" fillId="4" borderId="12" xfId="0" applyNumberFormat="1" applyFill="1" applyBorder="1"/>
    <xf numFmtId="14" fontId="0" fillId="5" borderId="2" xfId="0" applyNumberFormat="1" applyFill="1" applyBorder="1"/>
    <xf numFmtId="0" fontId="4" fillId="3" borderId="8" xfId="0" applyFont="1" applyFill="1" applyBorder="1" applyAlignment="1">
      <alignment horizontal="center" vertical="center" wrapText="1"/>
    </xf>
    <xf numFmtId="14" fontId="0" fillId="4" borderId="0" xfId="0" applyNumberFormat="1" applyFill="1"/>
    <xf numFmtId="1" fontId="0" fillId="4" borderId="3" xfId="0" applyNumberFormat="1" applyFill="1" applyBorder="1"/>
    <xf numFmtId="1" fontId="0" fillId="0" borderId="5" xfId="0" applyNumberFormat="1" applyBorder="1"/>
    <xf numFmtId="1" fontId="0" fillId="0" borderId="4" xfId="0" applyNumberFormat="1" applyBorder="1"/>
    <xf numFmtId="1" fontId="0" fillId="7" borderId="4" xfId="0" applyNumberFormat="1" applyFill="1" applyBorder="1"/>
    <xf numFmtId="0" fontId="8" fillId="8" borderId="10" xfId="0" applyFont="1" applyFill="1" applyBorder="1"/>
    <xf numFmtId="0" fontId="9" fillId="8" borderId="10" xfId="0" applyFont="1" applyFill="1" applyBorder="1"/>
    <xf numFmtId="0" fontId="9" fillId="8" borderId="15" xfId="0" applyFont="1" applyFill="1" applyBorder="1"/>
    <xf numFmtId="0" fontId="9" fillId="8" borderId="6" xfId="0" applyFont="1" applyFill="1" applyBorder="1"/>
    <xf numFmtId="0" fontId="9" fillId="9" borderId="10" xfId="0" applyFont="1" applyFill="1" applyBorder="1"/>
    <xf numFmtId="0" fontId="9" fillId="9" borderId="15" xfId="0" applyFont="1" applyFill="1" applyBorder="1"/>
    <xf numFmtId="14" fontId="8" fillId="8" borderId="10" xfId="0" applyNumberFormat="1" applyFont="1" applyFill="1" applyBorder="1"/>
    <xf numFmtId="0" fontId="8" fillId="8" borderId="15" xfId="0" applyFont="1" applyFill="1" applyBorder="1"/>
    <xf numFmtId="14" fontId="8" fillId="8" borderId="15" xfId="0" applyNumberFormat="1" applyFont="1" applyFill="1" applyBorder="1"/>
    <xf numFmtId="0" fontId="9" fillId="8" borderId="7" xfId="0" applyFont="1" applyFill="1" applyBorder="1"/>
    <xf numFmtId="0" fontId="9" fillId="9" borderId="7" xfId="0" applyFont="1" applyFill="1" applyBorder="1"/>
    <xf numFmtId="14" fontId="8" fillId="8" borderId="7" xfId="0" applyNumberFormat="1" applyFont="1" applyFill="1" applyBorder="1"/>
    <xf numFmtId="0" fontId="8" fillId="8" borderId="7" xfId="0" applyFont="1" applyFill="1" applyBorder="1"/>
    <xf numFmtId="0" fontId="3" fillId="10" borderId="3" xfId="0" applyFont="1" applyFill="1" applyBorder="1" applyAlignment="1">
      <alignment wrapText="1"/>
    </xf>
    <xf numFmtId="0" fontId="0" fillId="10" borderId="3" xfId="0" applyFill="1" applyBorder="1"/>
    <xf numFmtId="0" fontId="0" fillId="10" borderId="14" xfId="0" applyFill="1" applyBorder="1"/>
    <xf numFmtId="0" fontId="3" fillId="11" borderId="3" xfId="0" applyFont="1" applyFill="1" applyBorder="1" applyAlignment="1">
      <alignment wrapText="1"/>
    </xf>
    <xf numFmtId="0" fontId="0" fillId="11" borderId="3" xfId="0" applyFill="1" applyBorder="1"/>
    <xf numFmtId="0" fontId="0" fillId="0" borderId="4" xfId="0" applyBorder="1"/>
    <xf numFmtId="0" fontId="0" fillId="12" borderId="3" xfId="0" applyFill="1" applyBorder="1"/>
    <xf numFmtId="0" fontId="0" fillId="13" borderId="3" xfId="0" applyFill="1" applyBorder="1"/>
    <xf numFmtId="1" fontId="0" fillId="10" borderId="3" xfId="0" applyNumberFormat="1" applyFill="1" applyBorder="1"/>
    <xf numFmtId="0" fontId="10" fillId="11" borderId="13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wrapText="1"/>
    </xf>
    <xf numFmtId="0" fontId="3" fillId="15" borderId="3" xfId="0" applyFont="1" applyFill="1" applyBorder="1" applyAlignment="1">
      <alignment wrapText="1"/>
    </xf>
    <xf numFmtId="0" fontId="0" fillId="15" borderId="3" xfId="0" applyFill="1" applyBorder="1"/>
    <xf numFmtId="0" fontId="3" fillId="11" borderId="4" xfId="0" applyFont="1" applyFill="1" applyBorder="1" applyAlignment="1">
      <alignment wrapText="1"/>
    </xf>
    <xf numFmtId="1" fontId="0" fillId="11" borderId="4" xfId="0" applyNumberFormat="1" applyFill="1" applyBorder="1"/>
    <xf numFmtId="1" fontId="0" fillId="15" borderId="4" xfId="0" applyNumberFormat="1" applyFill="1" applyBorder="1"/>
    <xf numFmtId="0" fontId="3" fillId="15" borderId="4" xfId="0" applyFont="1" applyFill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wrapText="1"/>
    </xf>
    <xf numFmtId="0" fontId="0" fillId="4" borderId="3" xfId="0" applyFill="1" applyBorder="1"/>
    <xf numFmtId="0" fontId="10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wrapText="1"/>
    </xf>
    <xf numFmtId="0" fontId="0" fillId="6" borderId="3" xfId="0" applyFill="1" applyBorder="1"/>
    <xf numFmtId="0" fontId="3" fillId="16" borderId="3" xfId="0" applyFont="1" applyFill="1" applyBorder="1" applyAlignment="1">
      <alignment wrapText="1"/>
    </xf>
    <xf numFmtId="0" fontId="0" fillId="16" borderId="3" xfId="0" applyFill="1" applyBorder="1"/>
    <xf numFmtId="0" fontId="3" fillId="6" borderId="3" xfId="0" applyFont="1" applyFill="1" applyBorder="1" applyAlignment="1">
      <alignment horizontal="center" vertical="center" wrapText="1"/>
    </xf>
    <xf numFmtId="1" fontId="0" fillId="4" borderId="4" xfId="0" applyNumberFormat="1" applyFill="1" applyBorder="1"/>
    <xf numFmtId="0" fontId="0" fillId="13" borderId="14" xfId="0" applyFill="1" applyBorder="1"/>
    <xf numFmtId="1" fontId="0" fillId="7" borderId="3" xfId="0" applyNumberFormat="1" applyFill="1" applyBorder="1"/>
    <xf numFmtId="0" fontId="0" fillId="14" borderId="3" xfId="0" applyFill="1" applyBorder="1"/>
    <xf numFmtId="14" fontId="2" fillId="14" borderId="3" xfId="0" applyNumberFormat="1" applyFont="1" applyFill="1" applyBorder="1"/>
    <xf numFmtId="14" fontId="2" fillId="6" borderId="3" xfId="0" applyNumberFormat="1" applyFont="1" applyFill="1" applyBorder="1"/>
    <xf numFmtId="1" fontId="0" fillId="11" borderId="3" xfId="0" applyNumberFormat="1" applyFill="1" applyBorder="1"/>
    <xf numFmtId="1" fontId="0" fillId="15" borderId="3" xfId="0" applyNumberFormat="1" applyFill="1" applyBorder="1"/>
    <xf numFmtId="1" fontId="0" fillId="0" borderId="3" xfId="0" applyNumberFormat="1" applyBorder="1"/>
    <xf numFmtId="0" fontId="0" fillId="5" borderId="16" xfId="0" applyFill="1" applyBorder="1"/>
    <xf numFmtId="0" fontId="0" fillId="5" borderId="7" xfId="0" applyFill="1" applyBorder="1"/>
    <xf numFmtId="14" fontId="0" fillId="5" borderId="7" xfId="0" applyNumberFormat="1" applyFill="1" applyBorder="1"/>
    <xf numFmtId="14" fontId="0" fillId="5" borderId="8" xfId="0" applyNumberFormat="1" applyFill="1" applyBorder="1"/>
    <xf numFmtId="1" fontId="0" fillId="4" borderId="14" xfId="0" applyNumberFormat="1" applyFill="1" applyBorder="1"/>
    <xf numFmtId="1" fontId="0" fillId="0" borderId="17" xfId="0" applyNumberFormat="1" applyBorder="1"/>
    <xf numFmtId="0" fontId="0" fillId="0" borderId="14" xfId="0" applyBorder="1"/>
    <xf numFmtId="1" fontId="0" fillId="0" borderId="18" xfId="0" applyNumberFormat="1" applyBorder="1"/>
    <xf numFmtId="1" fontId="0" fillId="10" borderId="14" xfId="0" applyNumberFormat="1" applyFill="1" applyBorder="1"/>
    <xf numFmtId="0" fontId="0" fillId="11" borderId="14" xfId="0" applyFill="1" applyBorder="1"/>
    <xf numFmtId="1" fontId="0" fillId="11" borderId="18" xfId="0" applyNumberFormat="1" applyFill="1" applyBorder="1"/>
    <xf numFmtId="0" fontId="0" fillId="15" borderId="14" xfId="0" applyFill="1" applyBorder="1"/>
    <xf numFmtId="1" fontId="0" fillId="15" borderId="18" xfId="0" applyNumberFormat="1" applyFill="1" applyBorder="1"/>
    <xf numFmtId="0" fontId="0" fillId="4" borderId="14" xfId="0" applyFill="1" applyBorder="1"/>
    <xf numFmtId="1" fontId="0" fillId="4" borderId="18" xfId="0" applyNumberFormat="1" applyFill="1" applyBorder="1"/>
    <xf numFmtId="0" fontId="0" fillId="6" borderId="14" xfId="0" applyFill="1" applyBorder="1"/>
    <xf numFmtId="0" fontId="0" fillId="16" borderId="14" xfId="0" applyFill="1" applyBorder="1"/>
    <xf numFmtId="0" fontId="0" fillId="10" borderId="19" xfId="0" applyFill="1" applyBorder="1"/>
    <xf numFmtId="1" fontId="0" fillId="10" borderId="19" xfId="0" applyNumberFormat="1" applyFill="1" applyBorder="1"/>
    <xf numFmtId="0" fontId="0" fillId="11" borderId="19" xfId="0" applyFill="1" applyBorder="1"/>
    <xf numFmtId="1" fontId="0" fillId="11" borderId="20" xfId="0" applyNumberFormat="1" applyFill="1" applyBorder="1"/>
    <xf numFmtId="0" fontId="0" fillId="15" borderId="19" xfId="0" applyFill="1" applyBorder="1"/>
    <xf numFmtId="1" fontId="0" fillId="15" borderId="20" xfId="0" applyNumberFormat="1" applyFill="1" applyBorder="1"/>
    <xf numFmtId="0" fontId="0" fillId="4" borderId="19" xfId="0" applyFill="1" applyBorder="1"/>
    <xf numFmtId="1" fontId="0" fillId="4" borderId="20" xfId="0" applyNumberFormat="1" applyFill="1" applyBorder="1"/>
    <xf numFmtId="0" fontId="0" fillId="6" borderId="19" xfId="0" applyFill="1" applyBorder="1"/>
    <xf numFmtId="0" fontId="0" fillId="16" borderId="19" xfId="0" applyFill="1" applyBorder="1"/>
    <xf numFmtId="0" fontId="0" fillId="12" borderId="6" xfId="0" applyFill="1" applyBorder="1" applyAlignment="1">
      <alignment readingOrder="1"/>
    </xf>
    <xf numFmtId="0" fontId="0" fillId="4" borderId="6" xfId="0" applyFill="1" applyBorder="1" applyAlignment="1">
      <alignment wrapText="1" readingOrder="1"/>
    </xf>
    <xf numFmtId="0" fontId="0" fillId="15" borderId="4" xfId="0" applyFill="1" applyBorder="1"/>
    <xf numFmtId="0" fontId="0" fillId="15" borderId="5" xfId="0" applyFill="1" applyBorder="1"/>
    <xf numFmtId="0" fontId="5" fillId="12" borderId="6" xfId="0" applyFont="1" applyFill="1" applyBorder="1" applyAlignment="1">
      <alignment readingOrder="1"/>
    </xf>
    <xf numFmtId="0" fontId="0" fillId="10" borderId="0" xfId="0" applyFill="1"/>
    <xf numFmtId="0" fontId="0" fillId="12" borderId="0" xfId="0" applyFill="1"/>
    <xf numFmtId="0" fontId="6" fillId="12" borderId="6" xfId="0" applyFont="1" applyFill="1" applyBorder="1" applyAlignment="1">
      <alignment vertical="center"/>
    </xf>
    <xf numFmtId="1" fontId="0" fillId="6" borderId="3" xfId="0" applyNumberFormat="1" applyFill="1" applyBorder="1"/>
    <xf numFmtId="0" fontId="10" fillId="1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35BA-2B29-4B93-B1F5-D63FC8BEF155}">
  <dimension ref="A1:CD114"/>
  <sheetViews>
    <sheetView tabSelected="1" workbookViewId="0">
      <pane ySplit="2" topLeftCell="A43" activePane="bottomLeft" state="frozen"/>
      <selection pane="bottomLeft" activeCell="E55" sqref="E55"/>
    </sheetView>
  </sheetViews>
  <sheetFormatPr defaultColWidth="11.42578125" defaultRowHeight="15" customHeight="1"/>
  <cols>
    <col min="1" max="1" width="21.7109375" customWidth="1"/>
    <col min="2" max="2" width="38" customWidth="1"/>
    <col min="3" max="3" width="13.85546875" bestFit="1" customWidth="1"/>
    <col min="4" max="4" width="10.28515625" bestFit="1" customWidth="1"/>
    <col min="5" max="5" width="11.42578125" bestFit="1" customWidth="1"/>
    <col min="6" max="6" width="3.28515625" customWidth="1"/>
    <col min="7" max="10" width="11.42578125" hidden="1" customWidth="1"/>
    <col min="11" max="11" width="13.28515625" hidden="1" customWidth="1"/>
    <col min="12" max="16" width="11.42578125" hidden="1" customWidth="1"/>
    <col min="17" max="17" width="9.85546875" hidden="1" customWidth="1"/>
    <col min="18" max="28" width="11.42578125" hidden="1" customWidth="1"/>
    <col min="29" max="29" width="13.7109375" hidden="1" customWidth="1"/>
    <col min="30" max="47" width="11.42578125" hidden="1" customWidth="1"/>
    <col min="48" max="59" width="11.42578125" customWidth="1"/>
    <col min="60" max="66" width="11.42578125" hidden="1" customWidth="1"/>
    <col min="67" max="67" width="28.28515625" hidden="1" customWidth="1"/>
    <col min="68" max="68" width="25.42578125" hidden="1" customWidth="1"/>
    <col min="69" max="69" width="22" hidden="1" customWidth="1"/>
    <col min="70" max="70" width="14.85546875" hidden="1" customWidth="1"/>
    <col min="71" max="71" width="21.140625" hidden="1" customWidth="1"/>
    <col min="72" max="72" width="11.42578125" customWidth="1"/>
    <col min="79" max="79" width="11.42578125" bestFit="1" customWidth="1"/>
  </cols>
  <sheetData>
    <row r="1" spans="1:82">
      <c r="A1" s="68"/>
      <c r="B1" s="68">
        <v>74</v>
      </c>
      <c r="C1" s="68"/>
      <c r="D1" s="68"/>
      <c r="E1" s="68"/>
      <c r="F1" s="68"/>
      <c r="G1" s="133" t="s">
        <v>0</v>
      </c>
      <c r="H1" s="134"/>
      <c r="I1" s="134"/>
      <c r="J1" s="134"/>
      <c r="K1" s="135"/>
      <c r="L1" s="136" t="s">
        <v>1</v>
      </c>
      <c r="M1" s="137"/>
      <c r="N1" s="137"/>
      <c r="O1" s="137"/>
      <c r="P1" s="137"/>
      <c r="Q1" s="67"/>
      <c r="R1" s="138" t="s">
        <v>2</v>
      </c>
      <c r="S1" s="139"/>
      <c r="T1" s="139"/>
      <c r="U1" s="139"/>
      <c r="V1" s="139"/>
      <c r="W1" s="66"/>
      <c r="X1" s="140" t="s">
        <v>3</v>
      </c>
      <c r="Y1" s="140"/>
      <c r="Z1" s="140"/>
      <c r="AA1" s="140"/>
      <c r="AB1" s="140"/>
      <c r="AC1" s="141"/>
      <c r="AD1" s="130" t="s">
        <v>4</v>
      </c>
      <c r="AE1" s="130"/>
      <c r="AF1" s="130"/>
      <c r="AG1" s="130"/>
      <c r="AH1" s="130"/>
      <c r="AI1" s="130"/>
      <c r="AJ1" s="132" t="s">
        <v>5</v>
      </c>
      <c r="AK1" s="132"/>
      <c r="AL1" s="132"/>
      <c r="AM1" s="132"/>
      <c r="AN1" s="132"/>
      <c r="AO1" s="132"/>
      <c r="AP1" s="129" t="s">
        <v>6</v>
      </c>
      <c r="AQ1" s="129"/>
      <c r="AR1" s="129"/>
      <c r="AS1" s="129"/>
      <c r="AT1" s="129"/>
      <c r="AU1" s="129"/>
      <c r="AV1" s="130" t="s">
        <v>7</v>
      </c>
      <c r="AW1" s="130"/>
      <c r="AX1" s="130"/>
      <c r="AY1" s="130"/>
      <c r="AZ1" s="130"/>
      <c r="BA1" s="75"/>
      <c r="BB1" s="131" t="s">
        <v>8</v>
      </c>
      <c r="BC1" s="131"/>
      <c r="BD1" s="131"/>
      <c r="BE1" s="131"/>
      <c r="BF1" s="131"/>
      <c r="BG1" s="131"/>
      <c r="BH1" s="130" t="s">
        <v>9</v>
      </c>
      <c r="BI1" s="130"/>
      <c r="BJ1" s="130"/>
      <c r="BK1" s="130"/>
      <c r="BL1" s="130"/>
      <c r="BM1" s="130"/>
      <c r="BN1" s="132" t="s">
        <v>10</v>
      </c>
      <c r="BO1" s="132"/>
      <c r="BP1" s="132"/>
      <c r="BQ1" s="132"/>
      <c r="BR1" s="132"/>
      <c r="BS1" s="78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 ht="40.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/>
      <c r="G2" s="2" t="s">
        <v>16</v>
      </c>
      <c r="H2" s="2" t="s">
        <v>17</v>
      </c>
      <c r="I2" s="2" t="s">
        <v>18</v>
      </c>
      <c r="J2" s="2" t="s">
        <v>19</v>
      </c>
      <c r="K2" s="38" t="s">
        <v>20</v>
      </c>
      <c r="L2" s="57" t="s">
        <v>16</v>
      </c>
      <c r="M2" s="57" t="s">
        <v>17</v>
      </c>
      <c r="N2" s="57" t="s">
        <v>18</v>
      </c>
      <c r="O2" s="57" t="s">
        <v>19</v>
      </c>
      <c r="P2" s="57" t="s">
        <v>20</v>
      </c>
      <c r="Q2" s="57" t="s">
        <v>21</v>
      </c>
      <c r="R2" s="60" t="s">
        <v>16</v>
      </c>
      <c r="S2" s="60" t="s">
        <v>17</v>
      </c>
      <c r="T2" s="60" t="s">
        <v>18</v>
      </c>
      <c r="U2" s="60" t="s">
        <v>19</v>
      </c>
      <c r="V2" s="60" t="s">
        <v>20</v>
      </c>
      <c r="W2" s="71" t="s">
        <v>22</v>
      </c>
      <c r="X2" s="69" t="s">
        <v>16</v>
      </c>
      <c r="Y2" s="69" t="s">
        <v>17</v>
      </c>
      <c r="Z2" s="69" t="s">
        <v>18</v>
      </c>
      <c r="AA2" s="69" t="s">
        <v>19</v>
      </c>
      <c r="AB2" s="69" t="s">
        <v>20</v>
      </c>
      <c r="AC2" s="74" t="s">
        <v>23</v>
      </c>
      <c r="AD2" s="76" t="s">
        <v>16</v>
      </c>
      <c r="AE2" s="76" t="s">
        <v>17</v>
      </c>
      <c r="AF2" s="76" t="s">
        <v>18</v>
      </c>
      <c r="AG2" s="76" t="s">
        <v>19</v>
      </c>
      <c r="AH2" s="76" t="s">
        <v>20</v>
      </c>
      <c r="AI2" s="76" t="s">
        <v>24</v>
      </c>
      <c r="AJ2" s="79" t="s">
        <v>16</v>
      </c>
      <c r="AK2" s="79" t="s">
        <v>25</v>
      </c>
      <c r="AL2" s="79" t="s">
        <v>18</v>
      </c>
      <c r="AM2" s="79" t="s">
        <v>19</v>
      </c>
      <c r="AN2" s="79" t="s">
        <v>20</v>
      </c>
      <c r="AO2" s="79" t="s">
        <v>26</v>
      </c>
      <c r="AP2" s="81" t="s">
        <v>16</v>
      </c>
      <c r="AQ2" s="81" t="s">
        <v>17</v>
      </c>
      <c r="AR2" s="81" t="s">
        <v>18</v>
      </c>
      <c r="AS2" s="81" t="s">
        <v>19</v>
      </c>
      <c r="AT2" s="81" t="s">
        <v>20</v>
      </c>
      <c r="AU2" s="81" t="s">
        <v>27</v>
      </c>
      <c r="AV2" s="76" t="s">
        <v>16</v>
      </c>
      <c r="AW2" s="76" t="s">
        <v>17</v>
      </c>
      <c r="AX2" s="76" t="s">
        <v>18</v>
      </c>
      <c r="AY2" s="76" t="s">
        <v>19</v>
      </c>
      <c r="AZ2" s="76" t="s">
        <v>20</v>
      </c>
      <c r="BA2" s="76" t="s">
        <v>28</v>
      </c>
      <c r="BB2" s="57" t="s">
        <v>16</v>
      </c>
      <c r="BC2" s="57" t="s">
        <v>17</v>
      </c>
      <c r="BD2" s="57" t="s">
        <v>18</v>
      </c>
      <c r="BE2" s="57" t="s">
        <v>19</v>
      </c>
      <c r="BF2" s="57" t="s">
        <v>20</v>
      </c>
      <c r="BG2" s="57" t="s">
        <v>29</v>
      </c>
      <c r="BH2" s="76" t="s">
        <v>16</v>
      </c>
      <c r="BI2" s="76" t="s">
        <v>17</v>
      </c>
      <c r="BJ2" s="76" t="s">
        <v>18</v>
      </c>
      <c r="BK2" s="76" t="s">
        <v>19</v>
      </c>
      <c r="BL2" s="76" t="s">
        <v>20</v>
      </c>
      <c r="BM2" s="76" t="s">
        <v>30</v>
      </c>
      <c r="BN2" s="79" t="s">
        <v>16</v>
      </c>
      <c r="BO2" s="79" t="s">
        <v>17</v>
      </c>
      <c r="BP2" s="79" t="s">
        <v>18</v>
      </c>
      <c r="BQ2" s="79" t="s">
        <v>19</v>
      </c>
      <c r="BR2" s="79" t="s">
        <v>20</v>
      </c>
      <c r="BS2" s="83" t="s">
        <v>30</v>
      </c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>
      <c r="A3" s="4" t="s">
        <v>31</v>
      </c>
      <c r="B3" s="4" t="s">
        <v>32</v>
      </c>
      <c r="C3" s="9">
        <v>10290545</v>
      </c>
      <c r="D3" s="12">
        <v>46055</v>
      </c>
      <c r="E3" s="33">
        <v>46366</v>
      </c>
      <c r="F3" s="40">
        <f>(DAY(D3)-30-1)*-1</f>
        <v>29</v>
      </c>
      <c r="G3" s="41">
        <v>152</v>
      </c>
      <c r="H3" s="32">
        <v>128</v>
      </c>
      <c r="I3" s="32">
        <v>24</v>
      </c>
      <c r="J3" s="32">
        <f>H3+I3</f>
        <v>152</v>
      </c>
      <c r="K3" s="42">
        <f>G3-J3</f>
        <v>0</v>
      </c>
      <c r="L3" s="58">
        <v>160</v>
      </c>
      <c r="M3" s="58">
        <v>160</v>
      </c>
      <c r="N3" s="58">
        <v>8</v>
      </c>
      <c r="O3" s="58">
        <f>M3+N3</f>
        <v>168</v>
      </c>
      <c r="P3" s="58">
        <f>L3-O3</f>
        <v>-8</v>
      </c>
      <c r="Q3" s="65">
        <f>K3+P3</f>
        <v>-8</v>
      </c>
      <c r="R3" s="61">
        <v>160</v>
      </c>
      <c r="S3" s="61">
        <v>160</v>
      </c>
      <c r="T3" s="61">
        <v>8</v>
      </c>
      <c r="U3" s="61">
        <f>S3+T3</f>
        <v>168</v>
      </c>
      <c r="V3" s="61">
        <f>R3-U3</f>
        <v>-8</v>
      </c>
      <c r="W3" s="72">
        <f>Q3+V3</f>
        <v>-16</v>
      </c>
      <c r="X3" s="70">
        <v>160</v>
      </c>
      <c r="Y3" s="70">
        <v>160</v>
      </c>
      <c r="Z3" s="70"/>
      <c r="AA3" s="70">
        <f>Y3+Z3</f>
        <v>160</v>
      </c>
      <c r="AB3" s="70">
        <f>X3-AA3</f>
        <v>0</v>
      </c>
      <c r="AC3" s="73">
        <f>W3+AB3</f>
        <v>-16</v>
      </c>
      <c r="AD3" s="77">
        <v>160</v>
      </c>
      <c r="AE3" s="77">
        <v>160</v>
      </c>
      <c r="AF3" s="77"/>
      <c r="AG3" s="77">
        <f>AE3+AF3</f>
        <v>160</v>
      </c>
      <c r="AH3" s="77">
        <f>AD3-AG3</f>
        <v>0</v>
      </c>
      <c r="AI3" s="84">
        <f>AC3+AH3</f>
        <v>-16</v>
      </c>
      <c r="AJ3" s="80">
        <v>160</v>
      </c>
      <c r="AK3" s="80">
        <v>160</v>
      </c>
      <c r="AL3" s="80"/>
      <c r="AM3" s="80">
        <f>AK3+AL3</f>
        <v>160</v>
      </c>
      <c r="AN3" s="80">
        <f>AJ3-AM3</f>
        <v>0</v>
      </c>
      <c r="AO3" s="80">
        <f>AI3+AN3</f>
        <v>-16</v>
      </c>
      <c r="AP3" s="82">
        <v>160</v>
      </c>
      <c r="AQ3" s="82">
        <v>160</v>
      </c>
      <c r="AR3" s="82"/>
      <c r="AS3" s="82">
        <f>AQ3+AR3</f>
        <v>160</v>
      </c>
      <c r="AT3" s="82">
        <f>AP3-AS3</f>
        <v>0</v>
      </c>
      <c r="AU3" s="82">
        <f>AO3+AT3</f>
        <v>-16</v>
      </c>
      <c r="AV3" s="77">
        <v>160</v>
      </c>
      <c r="AW3" s="77">
        <v>160</v>
      </c>
      <c r="AX3" s="77"/>
      <c r="AY3" s="77">
        <f>AW3+AX3</f>
        <v>160</v>
      </c>
      <c r="AZ3" s="77">
        <f>AV3-AY3</f>
        <v>0</v>
      </c>
      <c r="BA3" s="77">
        <f>AU3+AZ3</f>
        <v>-16</v>
      </c>
      <c r="BB3" s="58">
        <v>160</v>
      </c>
      <c r="BC3" s="58"/>
      <c r="BD3" s="58"/>
      <c r="BE3" s="58">
        <v>0</v>
      </c>
      <c r="BF3" s="58">
        <v>160</v>
      </c>
      <c r="BG3" s="58">
        <v>960</v>
      </c>
      <c r="BH3" s="77">
        <v>160</v>
      </c>
      <c r="BI3" s="77"/>
      <c r="BJ3" s="77"/>
      <c r="BK3" s="77">
        <v>0</v>
      </c>
      <c r="BL3" s="77">
        <v>160</v>
      </c>
      <c r="BM3" s="77">
        <v>960</v>
      </c>
      <c r="BN3" s="80">
        <v>160</v>
      </c>
      <c r="BO3" s="80"/>
      <c r="BP3" s="80"/>
      <c r="BQ3" s="80">
        <v>0</v>
      </c>
      <c r="BR3" s="80">
        <v>160</v>
      </c>
      <c r="BS3" s="80">
        <v>960</v>
      </c>
    </row>
    <row r="4" spans="1:82">
      <c r="A4" s="4" t="s">
        <v>31</v>
      </c>
      <c r="B4" s="4" t="s">
        <v>33</v>
      </c>
      <c r="C4" s="9">
        <v>25273462</v>
      </c>
      <c r="D4" s="12">
        <v>46055</v>
      </c>
      <c r="E4" s="33">
        <v>46366</v>
      </c>
      <c r="F4" s="40">
        <f>(DAY(D4)-30-1)*-1</f>
        <v>29</v>
      </c>
      <c r="G4" s="41">
        <v>152</v>
      </c>
      <c r="H4" s="32">
        <v>128</v>
      </c>
      <c r="I4" s="32">
        <v>24</v>
      </c>
      <c r="J4" s="32">
        <f>H4+I4</f>
        <v>152</v>
      </c>
      <c r="K4" s="42">
        <f>G4-J4</f>
        <v>0</v>
      </c>
      <c r="L4" s="58">
        <v>160</v>
      </c>
      <c r="M4" s="58">
        <v>160</v>
      </c>
      <c r="N4" s="58">
        <v>8</v>
      </c>
      <c r="O4" s="58">
        <f>M4+N4</f>
        <v>168</v>
      </c>
      <c r="P4" s="58">
        <f>L4-O4</f>
        <v>-8</v>
      </c>
      <c r="Q4" s="65">
        <f>K4+P4</f>
        <v>-8</v>
      </c>
      <c r="R4" s="61">
        <v>160</v>
      </c>
      <c r="S4" s="61">
        <v>160</v>
      </c>
      <c r="T4" s="61">
        <v>8</v>
      </c>
      <c r="U4" s="61">
        <f>S4+T4</f>
        <v>168</v>
      </c>
      <c r="V4" s="61">
        <f>R4-U4</f>
        <v>-8</v>
      </c>
      <c r="W4" s="72">
        <f>Q4+V4</f>
        <v>-16</v>
      </c>
      <c r="X4" s="70">
        <v>160</v>
      </c>
      <c r="Y4" s="70">
        <v>160</v>
      </c>
      <c r="Z4" s="70">
        <v>12</v>
      </c>
      <c r="AA4" s="70">
        <f>Y4+Z4</f>
        <v>172</v>
      </c>
      <c r="AB4" s="70">
        <f>X4-AA4</f>
        <v>-12</v>
      </c>
      <c r="AC4" s="73">
        <f>W4+AB4</f>
        <v>-28</v>
      </c>
      <c r="AD4" s="77">
        <v>160</v>
      </c>
      <c r="AE4" s="77">
        <v>160</v>
      </c>
      <c r="AF4" s="77"/>
      <c r="AG4" s="77">
        <f>AE4+AF4</f>
        <v>160</v>
      </c>
      <c r="AH4" s="77">
        <f>AD4-AG4</f>
        <v>0</v>
      </c>
      <c r="AI4" s="84">
        <f>AC4+AH4</f>
        <v>-28</v>
      </c>
      <c r="AJ4" s="80">
        <v>160</v>
      </c>
      <c r="AK4" s="80">
        <v>160</v>
      </c>
      <c r="AL4" s="80"/>
      <c r="AM4" s="80">
        <f>AK4+AL4</f>
        <v>160</v>
      </c>
      <c r="AN4" s="80">
        <f>AJ4-AM4</f>
        <v>0</v>
      </c>
      <c r="AO4" s="80">
        <f>AI4+AN4</f>
        <v>-28</v>
      </c>
      <c r="AP4" s="82">
        <v>160</v>
      </c>
      <c r="AQ4" s="82">
        <v>160</v>
      </c>
      <c r="AR4" s="82"/>
      <c r="AS4" s="82">
        <f>AQ4+AR4</f>
        <v>160</v>
      </c>
      <c r="AT4" s="82">
        <f>AP4-AS4</f>
        <v>0</v>
      </c>
      <c r="AU4" s="82">
        <f>AO4+AT4</f>
        <v>-28</v>
      </c>
      <c r="AV4" s="77">
        <v>160</v>
      </c>
      <c r="AW4" s="77">
        <v>160</v>
      </c>
      <c r="AX4" s="77"/>
      <c r="AY4" s="77">
        <f>AW4+AX4</f>
        <v>160</v>
      </c>
      <c r="AZ4" s="77">
        <f>AV4-AY4</f>
        <v>0</v>
      </c>
      <c r="BA4" s="77">
        <f>AU4+AZ4</f>
        <v>-28</v>
      </c>
      <c r="BB4" s="58">
        <v>160</v>
      </c>
      <c r="BC4" s="58"/>
      <c r="BD4" s="58"/>
      <c r="BE4" s="58">
        <v>0</v>
      </c>
      <c r="BF4" s="58">
        <v>160</v>
      </c>
      <c r="BG4" s="58">
        <v>960</v>
      </c>
      <c r="BH4" s="77">
        <v>160</v>
      </c>
      <c r="BI4" s="77"/>
      <c r="BJ4" s="77"/>
      <c r="BK4" s="77">
        <v>0</v>
      </c>
      <c r="BL4" s="77">
        <v>160</v>
      </c>
      <c r="BM4" s="77">
        <v>960</v>
      </c>
      <c r="BN4" s="80">
        <v>160</v>
      </c>
      <c r="BO4" s="80"/>
      <c r="BP4" s="80"/>
      <c r="BQ4" s="80">
        <v>0</v>
      </c>
      <c r="BR4" s="80">
        <v>160</v>
      </c>
      <c r="BS4" s="80">
        <v>960</v>
      </c>
    </row>
    <row r="5" spans="1:82">
      <c r="A5" s="4" t="s">
        <v>31</v>
      </c>
      <c r="B5" s="4" t="s">
        <v>34</v>
      </c>
      <c r="C5" s="9">
        <v>35477280</v>
      </c>
      <c r="D5" s="12">
        <v>46055</v>
      </c>
      <c r="E5" s="33">
        <v>46342</v>
      </c>
      <c r="F5" s="40">
        <f>(DAY(D5)-30-1)*-1</f>
        <v>29</v>
      </c>
      <c r="G5" s="41">
        <v>152</v>
      </c>
      <c r="H5" s="32">
        <v>136</v>
      </c>
      <c r="I5" s="32">
        <v>16</v>
      </c>
      <c r="J5" s="32">
        <f>H5+I5</f>
        <v>152</v>
      </c>
      <c r="K5" s="42">
        <f>G5-J5</f>
        <v>0</v>
      </c>
      <c r="L5" s="58">
        <v>160</v>
      </c>
      <c r="M5" s="58">
        <v>160</v>
      </c>
      <c r="N5" s="58">
        <v>8</v>
      </c>
      <c r="O5" s="58">
        <f>M5+N5</f>
        <v>168</v>
      </c>
      <c r="P5" s="58">
        <f>L5-O5</f>
        <v>-8</v>
      </c>
      <c r="Q5" s="65">
        <f>K5+P5</f>
        <v>-8</v>
      </c>
      <c r="R5" s="61">
        <v>160</v>
      </c>
      <c r="S5" s="61">
        <v>160</v>
      </c>
      <c r="T5" s="61">
        <v>8</v>
      </c>
      <c r="U5" s="61">
        <f>S5+T5</f>
        <v>168</v>
      </c>
      <c r="V5" s="61">
        <f>R5-U5</f>
        <v>-8</v>
      </c>
      <c r="W5" s="72">
        <f>Q5+V5</f>
        <v>-16</v>
      </c>
      <c r="X5" s="70">
        <v>160</v>
      </c>
      <c r="Y5" s="70">
        <v>160</v>
      </c>
      <c r="Z5" s="70"/>
      <c r="AA5" s="70">
        <f>Y5+Z5</f>
        <v>160</v>
      </c>
      <c r="AB5" s="70">
        <f>X5-AA5</f>
        <v>0</v>
      </c>
      <c r="AC5" s="73">
        <f>W5+AB5</f>
        <v>-16</v>
      </c>
      <c r="AD5" s="77">
        <v>160</v>
      </c>
      <c r="AE5" s="77">
        <v>160</v>
      </c>
      <c r="AF5" s="77"/>
      <c r="AG5" s="77">
        <f>AE5+AF5</f>
        <v>160</v>
      </c>
      <c r="AH5" s="77">
        <f>AD5-AG5</f>
        <v>0</v>
      </c>
      <c r="AI5" s="84">
        <f>AC5+AH5</f>
        <v>-16</v>
      </c>
      <c r="AJ5" s="80">
        <v>160</v>
      </c>
      <c r="AK5" s="80">
        <v>160</v>
      </c>
      <c r="AL5" s="80"/>
      <c r="AM5" s="80">
        <f>AK5+AL5</f>
        <v>160</v>
      </c>
      <c r="AN5" s="80">
        <f>AJ5-AM5</f>
        <v>0</v>
      </c>
      <c r="AO5" s="80">
        <f>AI5+AN5</f>
        <v>-16</v>
      </c>
      <c r="AP5" s="82">
        <v>160</v>
      </c>
      <c r="AQ5" s="82">
        <v>160</v>
      </c>
      <c r="AR5" s="82"/>
      <c r="AS5" s="82">
        <f>AQ5+AR5</f>
        <v>160</v>
      </c>
      <c r="AT5" s="82">
        <f>AP5-AS5</f>
        <v>0</v>
      </c>
      <c r="AU5" s="82">
        <f>AO5+AT5</f>
        <v>-16</v>
      </c>
      <c r="AV5" s="77">
        <v>160</v>
      </c>
      <c r="AW5" s="77">
        <v>160</v>
      </c>
      <c r="AX5" s="77"/>
      <c r="AY5" s="77">
        <f>AW5+AX5</f>
        <v>160</v>
      </c>
      <c r="AZ5" s="77">
        <f>AV5-AY5</f>
        <v>0</v>
      </c>
      <c r="BA5" s="77">
        <f>AU5+AZ5</f>
        <v>-16</v>
      </c>
      <c r="BB5" s="58">
        <v>160</v>
      </c>
      <c r="BC5" s="58"/>
      <c r="BD5" s="58"/>
      <c r="BE5" s="58">
        <v>0</v>
      </c>
      <c r="BF5" s="58">
        <v>160</v>
      </c>
      <c r="BG5" s="58">
        <v>960</v>
      </c>
      <c r="BH5" s="77">
        <v>160</v>
      </c>
      <c r="BI5" s="77"/>
      <c r="BJ5" s="77"/>
      <c r="BK5" s="77">
        <v>0</v>
      </c>
      <c r="BL5" s="77">
        <v>160</v>
      </c>
      <c r="BM5" s="77">
        <v>960</v>
      </c>
      <c r="BN5" s="80">
        <v>160</v>
      </c>
      <c r="BO5" s="80"/>
      <c r="BP5" s="80"/>
      <c r="BQ5" s="80">
        <v>0</v>
      </c>
      <c r="BR5" s="80">
        <v>160</v>
      </c>
      <c r="BS5" s="80">
        <v>960</v>
      </c>
    </row>
    <row r="6" spans="1:82">
      <c r="A6" s="4" t="s">
        <v>31</v>
      </c>
      <c r="B6" s="4" t="s">
        <v>35</v>
      </c>
      <c r="C6" s="9">
        <v>10302460</v>
      </c>
      <c r="D6" s="12">
        <v>46083</v>
      </c>
      <c r="E6" s="33">
        <v>46342</v>
      </c>
      <c r="F6" s="40">
        <f>(DAY(D6)-30-1)*-1</f>
        <v>29</v>
      </c>
      <c r="G6" s="41"/>
      <c r="H6" s="32"/>
      <c r="I6" s="32"/>
      <c r="J6" s="32"/>
      <c r="K6" s="42"/>
      <c r="L6" s="58">
        <v>152</v>
      </c>
      <c r="M6" s="63">
        <v>120</v>
      </c>
      <c r="N6" s="58">
        <v>32</v>
      </c>
      <c r="O6" s="58">
        <f>M6+N6</f>
        <v>152</v>
      </c>
      <c r="P6" s="58">
        <f>L6-O6</f>
        <v>0</v>
      </c>
      <c r="Q6" s="65">
        <f>K6+P6</f>
        <v>0</v>
      </c>
      <c r="R6" s="61">
        <v>160</v>
      </c>
      <c r="S6" s="61">
        <v>160</v>
      </c>
      <c r="T6" s="61">
        <v>8</v>
      </c>
      <c r="U6" s="61">
        <f>S6+T6</f>
        <v>168</v>
      </c>
      <c r="V6" s="61">
        <f>R6-U6</f>
        <v>-8</v>
      </c>
      <c r="W6" s="72">
        <f>Q6+V6</f>
        <v>-8</v>
      </c>
      <c r="X6" s="70">
        <v>160</v>
      </c>
      <c r="Y6" s="70">
        <v>160</v>
      </c>
      <c r="Z6" s="70"/>
      <c r="AA6" s="70">
        <f>Y6+Z6</f>
        <v>160</v>
      </c>
      <c r="AB6" s="70">
        <f>X6-AA6</f>
        <v>0</v>
      </c>
      <c r="AC6" s="73">
        <f>W6+AB6</f>
        <v>-8</v>
      </c>
      <c r="AD6" s="77">
        <v>160</v>
      </c>
      <c r="AE6" s="77">
        <v>160</v>
      </c>
      <c r="AF6" s="77"/>
      <c r="AG6" s="77">
        <f>AE6+AF6</f>
        <v>160</v>
      </c>
      <c r="AH6" s="77">
        <f>AD6-AG6</f>
        <v>0</v>
      </c>
      <c r="AI6" s="84">
        <f>AC6+AH6</f>
        <v>-8</v>
      </c>
      <c r="AJ6" s="80">
        <v>160</v>
      </c>
      <c r="AK6" s="80">
        <v>160</v>
      </c>
      <c r="AL6" s="80"/>
      <c r="AM6" s="80">
        <f>AK6+AL6</f>
        <v>160</v>
      </c>
      <c r="AN6" s="80">
        <f>AJ6-AM6</f>
        <v>0</v>
      </c>
      <c r="AO6" s="80">
        <f>AI6+AN6</f>
        <v>-8</v>
      </c>
      <c r="AP6" s="82">
        <v>160</v>
      </c>
      <c r="AQ6" s="82">
        <v>160</v>
      </c>
      <c r="AR6" s="82"/>
      <c r="AS6" s="82">
        <f>AQ6+AR6</f>
        <v>160</v>
      </c>
      <c r="AT6" s="82">
        <f>AP6-AS6</f>
        <v>0</v>
      </c>
      <c r="AU6" s="82">
        <f>AO6+AT6</f>
        <v>-8</v>
      </c>
      <c r="AV6" s="77">
        <v>160</v>
      </c>
      <c r="AW6" s="77">
        <v>160</v>
      </c>
      <c r="AX6" s="77"/>
      <c r="AY6" s="77">
        <f>AW6+AX6</f>
        <v>160</v>
      </c>
      <c r="AZ6" s="77">
        <f>AV6-AY6</f>
        <v>0</v>
      </c>
      <c r="BA6" s="77">
        <f>AU6+AZ6</f>
        <v>-8</v>
      </c>
      <c r="BB6" s="58">
        <v>160</v>
      </c>
      <c r="BC6" s="58"/>
      <c r="BD6" s="58"/>
      <c r="BE6" s="58">
        <v>0</v>
      </c>
      <c r="BF6" s="58">
        <v>160</v>
      </c>
      <c r="BG6" s="58">
        <v>960</v>
      </c>
      <c r="BH6" s="77">
        <v>160</v>
      </c>
      <c r="BI6" s="77"/>
      <c r="BJ6" s="77"/>
      <c r="BK6" s="77">
        <v>0</v>
      </c>
      <c r="BL6" s="77">
        <v>160</v>
      </c>
      <c r="BM6" s="77">
        <v>960</v>
      </c>
      <c r="BN6" s="80">
        <v>160</v>
      </c>
      <c r="BO6" s="80"/>
      <c r="BP6" s="80"/>
      <c r="BQ6" s="80">
        <v>0</v>
      </c>
      <c r="BR6" s="80">
        <v>160</v>
      </c>
      <c r="BS6" s="80">
        <v>960</v>
      </c>
    </row>
    <row r="7" spans="1:82">
      <c r="A7" s="4" t="s">
        <v>31</v>
      </c>
      <c r="B7" s="4" t="s">
        <v>36</v>
      </c>
      <c r="C7" s="9">
        <v>1061756513</v>
      </c>
      <c r="D7" s="12">
        <v>46055</v>
      </c>
      <c r="E7" s="33">
        <v>46342</v>
      </c>
      <c r="F7" s="40">
        <f>(DAY(D7)-30-1)*-1</f>
        <v>29</v>
      </c>
      <c r="G7" s="41">
        <v>152</v>
      </c>
      <c r="H7" s="32">
        <v>128</v>
      </c>
      <c r="I7" s="32">
        <v>24</v>
      </c>
      <c r="J7" s="32">
        <f>H7+I7</f>
        <v>152</v>
      </c>
      <c r="K7" s="42">
        <f>G7-J7</f>
        <v>0</v>
      </c>
      <c r="L7" s="58">
        <v>160</v>
      </c>
      <c r="M7" s="58">
        <v>160</v>
      </c>
      <c r="N7" s="58">
        <v>8</v>
      </c>
      <c r="O7" s="58">
        <f>M7+N7</f>
        <v>168</v>
      </c>
      <c r="P7" s="58">
        <f>L7-O7</f>
        <v>-8</v>
      </c>
      <c r="Q7" s="65">
        <f>K7+P7</f>
        <v>-8</v>
      </c>
      <c r="R7" s="61">
        <v>160</v>
      </c>
      <c r="S7" s="61">
        <v>160</v>
      </c>
      <c r="T7" s="61">
        <v>8</v>
      </c>
      <c r="U7" s="61">
        <f>S7+T7</f>
        <v>168</v>
      </c>
      <c r="V7" s="61">
        <f>R7-U7</f>
        <v>-8</v>
      </c>
      <c r="W7" s="72">
        <f>Q7+V7</f>
        <v>-16</v>
      </c>
      <c r="X7" s="70">
        <v>160</v>
      </c>
      <c r="Y7" s="70">
        <v>160</v>
      </c>
      <c r="Z7" s="70"/>
      <c r="AA7" s="70">
        <f>Y7+Z7</f>
        <v>160</v>
      </c>
      <c r="AB7" s="70">
        <f>X7-AA7</f>
        <v>0</v>
      </c>
      <c r="AC7" s="73">
        <f>W7+AB7</f>
        <v>-16</v>
      </c>
      <c r="AD7" s="77">
        <v>160</v>
      </c>
      <c r="AE7" s="77">
        <v>160</v>
      </c>
      <c r="AF7" s="77"/>
      <c r="AG7" s="77">
        <f>AE7+AF7</f>
        <v>160</v>
      </c>
      <c r="AH7" s="77">
        <f>AD7-AG7</f>
        <v>0</v>
      </c>
      <c r="AI7" s="84">
        <f>AC7+AH7</f>
        <v>-16</v>
      </c>
      <c r="AJ7" s="80">
        <v>160</v>
      </c>
      <c r="AK7" s="80">
        <v>160</v>
      </c>
      <c r="AL7" s="80"/>
      <c r="AM7" s="80">
        <f>AK7+AL7</f>
        <v>160</v>
      </c>
      <c r="AN7" s="80">
        <f>AJ7-AM7</f>
        <v>0</v>
      </c>
      <c r="AO7" s="80">
        <f>AI7+AN7</f>
        <v>-16</v>
      </c>
      <c r="AP7" s="82">
        <v>160</v>
      </c>
      <c r="AQ7" s="82">
        <v>160</v>
      </c>
      <c r="AR7" s="82"/>
      <c r="AS7" s="82">
        <f>AQ7+AR7</f>
        <v>160</v>
      </c>
      <c r="AT7" s="82">
        <f>AP7-AS7</f>
        <v>0</v>
      </c>
      <c r="AU7" s="82">
        <f>AO7+AT7</f>
        <v>-16</v>
      </c>
      <c r="AV7" s="77">
        <v>160</v>
      </c>
      <c r="AW7" s="77">
        <v>160</v>
      </c>
      <c r="AX7" s="77"/>
      <c r="AY7" s="77">
        <f>AW7+AX7</f>
        <v>160</v>
      </c>
      <c r="AZ7" s="77">
        <f>AV7-AY7</f>
        <v>0</v>
      </c>
      <c r="BA7" s="77">
        <f>AU7+AZ7</f>
        <v>-16</v>
      </c>
      <c r="BB7" s="58">
        <v>160</v>
      </c>
      <c r="BC7" s="58"/>
      <c r="BD7" s="58"/>
      <c r="BE7" s="58">
        <v>0</v>
      </c>
      <c r="BF7" s="58">
        <v>160</v>
      </c>
      <c r="BG7" s="58">
        <v>960</v>
      </c>
      <c r="BH7" s="77">
        <v>160</v>
      </c>
      <c r="BI7" s="77"/>
      <c r="BJ7" s="77"/>
      <c r="BK7" s="77">
        <v>0</v>
      </c>
      <c r="BL7" s="77">
        <v>160</v>
      </c>
      <c r="BM7" s="77">
        <v>960</v>
      </c>
      <c r="BN7" s="80">
        <v>160</v>
      </c>
      <c r="BO7" s="80"/>
      <c r="BP7" s="80"/>
      <c r="BQ7" s="80">
        <v>0</v>
      </c>
      <c r="BR7" s="80">
        <v>160</v>
      </c>
      <c r="BS7" s="80">
        <v>960</v>
      </c>
    </row>
    <row r="8" spans="1:82">
      <c r="A8" s="4" t="s">
        <v>31</v>
      </c>
      <c r="B8" s="4" t="s">
        <v>37</v>
      </c>
      <c r="C8" s="9">
        <v>34554989</v>
      </c>
      <c r="D8" s="12">
        <v>46055</v>
      </c>
      <c r="E8" s="33">
        <v>46356</v>
      </c>
      <c r="F8" s="40">
        <f>(DAY(D8)-30-1)*-1</f>
        <v>29</v>
      </c>
      <c r="G8" s="41">
        <v>152</v>
      </c>
      <c r="H8" s="32">
        <v>136</v>
      </c>
      <c r="I8" s="32">
        <v>16</v>
      </c>
      <c r="J8" s="32">
        <f>H8+I8</f>
        <v>152</v>
      </c>
      <c r="K8" s="42">
        <f>G8-J8</f>
        <v>0</v>
      </c>
      <c r="L8" s="58">
        <v>160</v>
      </c>
      <c r="M8" s="58">
        <v>160</v>
      </c>
      <c r="N8" s="58">
        <v>8</v>
      </c>
      <c r="O8" s="58">
        <f>M8+N8</f>
        <v>168</v>
      </c>
      <c r="P8" s="58">
        <f>L8-O8</f>
        <v>-8</v>
      </c>
      <c r="Q8" s="65">
        <f>K8+P8</f>
        <v>-8</v>
      </c>
      <c r="R8" s="61">
        <v>160</v>
      </c>
      <c r="S8" s="61">
        <v>160</v>
      </c>
      <c r="T8" s="61">
        <v>8</v>
      </c>
      <c r="U8" s="61">
        <f>S8+T8</f>
        <v>168</v>
      </c>
      <c r="V8" s="61">
        <f>R8-U8</f>
        <v>-8</v>
      </c>
      <c r="W8" s="72">
        <f>Q8+V8</f>
        <v>-16</v>
      </c>
      <c r="X8" s="70">
        <v>160</v>
      </c>
      <c r="Y8" s="70">
        <v>160</v>
      </c>
      <c r="Z8" s="70"/>
      <c r="AA8" s="70">
        <f>Y8+Z8</f>
        <v>160</v>
      </c>
      <c r="AB8" s="70">
        <f>X8-AA8</f>
        <v>0</v>
      </c>
      <c r="AC8" s="73">
        <f>W8+AB8</f>
        <v>-16</v>
      </c>
      <c r="AD8" s="77">
        <v>160</v>
      </c>
      <c r="AE8" s="77">
        <v>160</v>
      </c>
      <c r="AF8" s="77"/>
      <c r="AG8" s="77">
        <f>AE8+AF8</f>
        <v>160</v>
      </c>
      <c r="AH8" s="77">
        <f>AD8-AG8</f>
        <v>0</v>
      </c>
      <c r="AI8" s="84">
        <f>AC8+AH8</f>
        <v>-16</v>
      </c>
      <c r="AJ8" s="80">
        <v>160</v>
      </c>
      <c r="AK8" s="80">
        <v>160</v>
      </c>
      <c r="AL8" s="80"/>
      <c r="AM8" s="80">
        <f>AK8+AL8</f>
        <v>160</v>
      </c>
      <c r="AN8" s="80">
        <f>AJ8-AM8</f>
        <v>0</v>
      </c>
      <c r="AO8" s="80">
        <f>AI8+AN8</f>
        <v>-16</v>
      </c>
      <c r="AP8" s="82">
        <v>160</v>
      </c>
      <c r="AQ8" s="82">
        <v>160</v>
      </c>
      <c r="AR8" s="82"/>
      <c r="AS8" s="82">
        <f>AQ8+AR8</f>
        <v>160</v>
      </c>
      <c r="AT8" s="82">
        <f>AP8-AS8</f>
        <v>0</v>
      </c>
      <c r="AU8" s="82">
        <f>AO8+AT8</f>
        <v>-16</v>
      </c>
      <c r="AV8" s="77">
        <v>160</v>
      </c>
      <c r="AW8" s="77">
        <v>160</v>
      </c>
      <c r="AX8" s="77"/>
      <c r="AY8" s="77">
        <f>AW8+AX8</f>
        <v>160</v>
      </c>
      <c r="AZ8" s="77">
        <f>AV8-AY8</f>
        <v>0</v>
      </c>
      <c r="BA8" s="77">
        <f>AU8+AZ8</f>
        <v>-16</v>
      </c>
      <c r="BB8" s="58">
        <v>160</v>
      </c>
      <c r="BC8" s="58"/>
      <c r="BD8" s="58"/>
      <c r="BE8" s="58">
        <v>0</v>
      </c>
      <c r="BF8" s="58">
        <v>160</v>
      </c>
      <c r="BG8" s="58">
        <v>960</v>
      </c>
      <c r="BH8" s="77">
        <v>160</v>
      </c>
      <c r="BI8" s="77"/>
      <c r="BJ8" s="77"/>
      <c r="BK8" s="77">
        <v>0</v>
      </c>
      <c r="BL8" s="77">
        <v>160</v>
      </c>
      <c r="BM8" s="77">
        <v>960</v>
      </c>
      <c r="BN8" s="80">
        <v>160</v>
      </c>
      <c r="BO8" s="80"/>
      <c r="BP8" s="80"/>
      <c r="BQ8" s="80">
        <v>0</v>
      </c>
      <c r="BR8" s="80">
        <v>160</v>
      </c>
      <c r="BS8" s="80">
        <v>960</v>
      </c>
    </row>
    <row r="9" spans="1:82">
      <c r="A9" s="4" t="s">
        <v>31</v>
      </c>
      <c r="B9" s="4" t="s">
        <v>38</v>
      </c>
      <c r="C9" s="9">
        <v>4669268</v>
      </c>
      <c r="D9" s="12">
        <v>46055</v>
      </c>
      <c r="E9" s="33">
        <v>46368</v>
      </c>
      <c r="F9" s="40">
        <f>(DAY(D9)-30-1)*-1</f>
        <v>29</v>
      </c>
      <c r="G9" s="41">
        <v>152</v>
      </c>
      <c r="H9" s="32">
        <v>128</v>
      </c>
      <c r="I9" s="32">
        <v>24</v>
      </c>
      <c r="J9" s="32">
        <f>H9+I9</f>
        <v>152</v>
      </c>
      <c r="K9" s="42">
        <f>G9-J9</f>
        <v>0</v>
      </c>
      <c r="L9" s="58">
        <v>160</v>
      </c>
      <c r="M9" s="58">
        <v>160</v>
      </c>
      <c r="N9" s="58">
        <v>8</v>
      </c>
      <c r="O9" s="58">
        <f>M9+N9</f>
        <v>168</v>
      </c>
      <c r="P9" s="58">
        <f>L9-O9</f>
        <v>-8</v>
      </c>
      <c r="Q9" s="65">
        <f>K9+P9</f>
        <v>-8</v>
      </c>
      <c r="R9" s="61">
        <v>160</v>
      </c>
      <c r="S9" s="61">
        <v>160</v>
      </c>
      <c r="T9" s="61">
        <v>8</v>
      </c>
      <c r="U9" s="61">
        <f>S9+T9</f>
        <v>168</v>
      </c>
      <c r="V9" s="61">
        <f>R9-U9</f>
        <v>-8</v>
      </c>
      <c r="W9" s="72">
        <f>Q9+V9</f>
        <v>-16</v>
      </c>
      <c r="X9" s="70">
        <v>160</v>
      </c>
      <c r="Y9" s="70">
        <v>176</v>
      </c>
      <c r="Z9" s="70"/>
      <c r="AA9" s="70">
        <f>Y9+Z9</f>
        <v>176</v>
      </c>
      <c r="AB9" s="70">
        <f>X9-AA9</f>
        <v>-16</v>
      </c>
      <c r="AC9" s="73">
        <f>W9+AB9</f>
        <v>-32</v>
      </c>
      <c r="AD9" s="77">
        <v>160</v>
      </c>
      <c r="AE9" s="77">
        <v>192</v>
      </c>
      <c r="AF9" s="77"/>
      <c r="AG9" s="77">
        <f>AE9+AF9</f>
        <v>192</v>
      </c>
      <c r="AH9" s="77">
        <f>AD9-AG9</f>
        <v>-32</v>
      </c>
      <c r="AI9" s="84">
        <f>AC9+AH9</f>
        <v>-64</v>
      </c>
      <c r="AJ9" s="80">
        <v>160</v>
      </c>
      <c r="AK9" s="80">
        <v>160</v>
      </c>
      <c r="AL9" s="80"/>
      <c r="AM9" s="80">
        <f>AK9+AL9</f>
        <v>160</v>
      </c>
      <c r="AN9" s="80">
        <f>AJ9-AM9</f>
        <v>0</v>
      </c>
      <c r="AO9" s="80">
        <f>AI9+AN9</f>
        <v>-64</v>
      </c>
      <c r="AP9" s="82">
        <v>160</v>
      </c>
      <c r="AQ9" s="82">
        <v>160</v>
      </c>
      <c r="AR9" s="82"/>
      <c r="AS9" s="82">
        <f>AQ9+AR9</f>
        <v>160</v>
      </c>
      <c r="AT9" s="82">
        <f>AP9-AS9</f>
        <v>0</v>
      </c>
      <c r="AU9" s="82">
        <f>AO9+AT9</f>
        <v>-64</v>
      </c>
      <c r="AV9" s="77">
        <v>160</v>
      </c>
      <c r="AW9" s="77">
        <v>160</v>
      </c>
      <c r="AX9" s="77"/>
      <c r="AY9" s="77">
        <f>AW9+AX9</f>
        <v>160</v>
      </c>
      <c r="AZ9" s="77">
        <f>AV9-AY9</f>
        <v>0</v>
      </c>
      <c r="BA9" s="77">
        <f>AU9+AZ9</f>
        <v>-64</v>
      </c>
      <c r="BB9" s="58">
        <v>160</v>
      </c>
      <c r="BC9" s="58"/>
      <c r="BD9" s="58"/>
      <c r="BE9" s="58">
        <v>0</v>
      </c>
      <c r="BF9" s="58">
        <v>160</v>
      </c>
      <c r="BG9" s="58">
        <v>960</v>
      </c>
      <c r="BH9" s="77">
        <v>160</v>
      </c>
      <c r="BI9" s="77"/>
      <c r="BJ9" s="77"/>
      <c r="BK9" s="77">
        <v>0</v>
      </c>
      <c r="BL9" s="77">
        <v>160</v>
      </c>
      <c r="BM9" s="77">
        <v>960</v>
      </c>
      <c r="BN9" s="80">
        <v>160</v>
      </c>
      <c r="BO9" s="80"/>
      <c r="BP9" s="80"/>
      <c r="BQ9" s="80">
        <v>0</v>
      </c>
      <c r="BR9" s="80">
        <v>160</v>
      </c>
      <c r="BS9" s="80">
        <v>960</v>
      </c>
    </row>
    <row r="10" spans="1:82">
      <c r="A10" s="4" t="s">
        <v>31</v>
      </c>
      <c r="B10" s="4" t="s">
        <v>39</v>
      </c>
      <c r="C10" s="9">
        <v>1061771150</v>
      </c>
      <c r="D10" s="12">
        <v>46055</v>
      </c>
      <c r="E10" s="33">
        <v>46356</v>
      </c>
      <c r="F10" s="40">
        <f>(DAY(D10)-30-1)*-1</f>
        <v>29</v>
      </c>
      <c r="G10" s="41">
        <v>152</v>
      </c>
      <c r="H10" s="32">
        <v>128</v>
      </c>
      <c r="I10" s="32">
        <v>24</v>
      </c>
      <c r="J10" s="32">
        <f>H10+I10</f>
        <v>152</v>
      </c>
      <c r="K10" s="42">
        <f>G10-J10</f>
        <v>0</v>
      </c>
      <c r="L10" s="58">
        <v>160</v>
      </c>
      <c r="M10" s="58">
        <v>156</v>
      </c>
      <c r="N10" s="58">
        <v>8</v>
      </c>
      <c r="O10" s="58">
        <f>M10+N10</f>
        <v>164</v>
      </c>
      <c r="P10" s="58">
        <f>L10-O10</f>
        <v>-4</v>
      </c>
      <c r="Q10" s="65">
        <f>K10+P10</f>
        <v>-4</v>
      </c>
      <c r="R10" s="61">
        <v>160</v>
      </c>
      <c r="S10" s="61">
        <v>160</v>
      </c>
      <c r="T10" s="61">
        <v>8</v>
      </c>
      <c r="U10" s="61">
        <f>S10+T10</f>
        <v>168</v>
      </c>
      <c r="V10" s="61">
        <f>R10-U10</f>
        <v>-8</v>
      </c>
      <c r="W10" s="72">
        <f>Q10+V10</f>
        <v>-12</v>
      </c>
      <c r="X10" s="70">
        <v>160</v>
      </c>
      <c r="Y10" s="70">
        <v>160</v>
      </c>
      <c r="Z10" s="70"/>
      <c r="AA10" s="70">
        <f>Y10+Z10</f>
        <v>160</v>
      </c>
      <c r="AB10" s="70">
        <f>X10-AA10</f>
        <v>0</v>
      </c>
      <c r="AC10" s="73">
        <f>W10+AB10</f>
        <v>-12</v>
      </c>
      <c r="AD10" s="77">
        <v>160</v>
      </c>
      <c r="AE10" s="77">
        <v>160</v>
      </c>
      <c r="AF10" s="77"/>
      <c r="AG10" s="77">
        <f>AE10+AF10</f>
        <v>160</v>
      </c>
      <c r="AH10" s="77">
        <f>AD10-AG10</f>
        <v>0</v>
      </c>
      <c r="AI10" s="84">
        <f>AC10+AH10</f>
        <v>-12</v>
      </c>
      <c r="AJ10" s="80">
        <v>160</v>
      </c>
      <c r="AK10" s="80">
        <v>160</v>
      </c>
      <c r="AL10" s="80"/>
      <c r="AM10" s="80">
        <f>+AK10+AL10</f>
        <v>160</v>
      </c>
      <c r="AN10" s="80">
        <f>AJ10-AM10</f>
        <v>0</v>
      </c>
      <c r="AO10" s="80">
        <f>AI10+AN10</f>
        <v>-12</v>
      </c>
      <c r="AP10" s="82">
        <v>160</v>
      </c>
      <c r="AQ10" s="82">
        <v>152</v>
      </c>
      <c r="AR10" s="82">
        <v>8</v>
      </c>
      <c r="AS10" s="82">
        <f>AQ10+AR10</f>
        <v>160</v>
      </c>
      <c r="AT10" s="82">
        <f>AP10-AS10</f>
        <v>0</v>
      </c>
      <c r="AU10" s="82">
        <f>AO10+AT10</f>
        <v>-12</v>
      </c>
      <c r="AV10" s="77">
        <v>160</v>
      </c>
      <c r="AW10" s="77">
        <v>160</v>
      </c>
      <c r="AX10" s="77"/>
      <c r="AY10" s="77">
        <f>AW10+AX10</f>
        <v>160</v>
      </c>
      <c r="AZ10" s="77">
        <f>AV10-AY10</f>
        <v>0</v>
      </c>
      <c r="BA10" s="77">
        <f>AU10+AZ10</f>
        <v>-12</v>
      </c>
      <c r="BB10" s="58">
        <v>160</v>
      </c>
      <c r="BC10" s="58"/>
      <c r="BD10" s="58"/>
      <c r="BE10" s="58">
        <v>0</v>
      </c>
      <c r="BF10" s="58">
        <v>160</v>
      </c>
      <c r="BG10" s="58">
        <v>960</v>
      </c>
      <c r="BH10" s="77">
        <v>160</v>
      </c>
      <c r="BI10" s="77"/>
      <c r="BJ10" s="77"/>
      <c r="BK10" s="77">
        <v>0</v>
      </c>
      <c r="BL10" s="77">
        <v>160</v>
      </c>
      <c r="BM10" s="77">
        <v>960</v>
      </c>
      <c r="BN10" s="80">
        <v>160</v>
      </c>
      <c r="BO10" s="80"/>
      <c r="BP10" s="80"/>
      <c r="BQ10" s="80">
        <v>0</v>
      </c>
      <c r="BR10" s="80">
        <v>160</v>
      </c>
      <c r="BS10" s="80">
        <v>960</v>
      </c>
    </row>
    <row r="11" spans="1:82">
      <c r="A11" s="4" t="s">
        <v>31</v>
      </c>
      <c r="B11" s="4" t="s">
        <v>40</v>
      </c>
      <c r="C11" s="9">
        <v>1061707404</v>
      </c>
      <c r="D11" s="12">
        <v>46055</v>
      </c>
      <c r="E11" s="33">
        <v>46366</v>
      </c>
      <c r="F11" s="40">
        <f>(DAY(D11)-30-1)*-1</f>
        <v>29</v>
      </c>
      <c r="G11" s="41">
        <v>152</v>
      </c>
      <c r="H11" s="32">
        <v>128</v>
      </c>
      <c r="I11" s="32">
        <v>24</v>
      </c>
      <c r="J11" s="32">
        <f>H11+I11</f>
        <v>152</v>
      </c>
      <c r="K11" s="42">
        <f>G11-J11</f>
        <v>0</v>
      </c>
      <c r="L11" s="58">
        <v>160</v>
      </c>
      <c r="M11" s="58">
        <v>152</v>
      </c>
      <c r="N11" s="58">
        <v>8</v>
      </c>
      <c r="O11" s="58">
        <f>M11+N11</f>
        <v>160</v>
      </c>
      <c r="P11" s="58">
        <f>L11-O11</f>
        <v>0</v>
      </c>
      <c r="Q11" s="65">
        <f>K11+P11</f>
        <v>0</v>
      </c>
      <c r="R11" s="61">
        <v>160</v>
      </c>
      <c r="S11" s="61">
        <v>160</v>
      </c>
      <c r="T11" s="61">
        <v>8</v>
      </c>
      <c r="U11" s="61">
        <f>S11+T11</f>
        <v>168</v>
      </c>
      <c r="V11" s="61">
        <f>R11-U11</f>
        <v>-8</v>
      </c>
      <c r="W11" s="72">
        <f>Q11+V11</f>
        <v>-8</v>
      </c>
      <c r="X11" s="70">
        <v>160</v>
      </c>
      <c r="Y11" s="70">
        <v>160</v>
      </c>
      <c r="Z11" s="70"/>
      <c r="AA11" s="70">
        <f>Y11+Z11</f>
        <v>160</v>
      </c>
      <c r="AB11" s="70">
        <f>X11-AA11</f>
        <v>0</v>
      </c>
      <c r="AC11" s="73">
        <f>W11+AB11</f>
        <v>-8</v>
      </c>
      <c r="AD11" s="77">
        <v>160</v>
      </c>
      <c r="AE11" s="77">
        <v>160</v>
      </c>
      <c r="AF11" s="77"/>
      <c r="AG11" s="77">
        <f>AE11+AF11</f>
        <v>160</v>
      </c>
      <c r="AH11" s="77">
        <f>AD11-AG11</f>
        <v>0</v>
      </c>
      <c r="AI11" s="84">
        <f>AC11+AH11</f>
        <v>-8</v>
      </c>
      <c r="AJ11" s="80">
        <v>160</v>
      </c>
      <c r="AK11" s="80">
        <v>144</v>
      </c>
      <c r="AL11" s="80"/>
      <c r="AM11" s="80">
        <f>AK11+AL11</f>
        <v>144</v>
      </c>
      <c r="AN11" s="80">
        <f>AJ11-AM11</f>
        <v>16</v>
      </c>
      <c r="AO11" s="80">
        <f>AI11+AN11</f>
        <v>8</v>
      </c>
      <c r="AP11" s="82">
        <v>160</v>
      </c>
      <c r="AQ11" s="82">
        <v>160</v>
      </c>
      <c r="AR11" s="82"/>
      <c r="AS11" s="82">
        <f>AQ11+AR11</f>
        <v>160</v>
      </c>
      <c r="AT11" s="82">
        <f>AP11-AS11</f>
        <v>0</v>
      </c>
      <c r="AU11" s="82">
        <f>AO11+AT11</f>
        <v>8</v>
      </c>
      <c r="AV11" s="77">
        <v>160</v>
      </c>
      <c r="AW11" s="77">
        <v>168</v>
      </c>
      <c r="AX11" s="77"/>
      <c r="AY11" s="77">
        <f>AW11+AX11</f>
        <v>168</v>
      </c>
      <c r="AZ11" s="77">
        <f>AV11-AY11</f>
        <v>-8</v>
      </c>
      <c r="BA11" s="77">
        <f>AU11+AZ11</f>
        <v>0</v>
      </c>
      <c r="BB11" s="58">
        <v>160</v>
      </c>
      <c r="BC11" s="58"/>
      <c r="BD11" s="58"/>
      <c r="BE11" s="58">
        <v>0</v>
      </c>
      <c r="BF11" s="58">
        <v>160</v>
      </c>
      <c r="BG11" s="58">
        <v>960</v>
      </c>
      <c r="BH11" s="77">
        <v>160</v>
      </c>
      <c r="BI11" s="77"/>
      <c r="BJ11" s="77"/>
      <c r="BK11" s="77">
        <v>0</v>
      </c>
      <c r="BL11" s="77">
        <v>160</v>
      </c>
      <c r="BM11" s="77">
        <v>960</v>
      </c>
      <c r="BN11" s="80">
        <v>160</v>
      </c>
      <c r="BO11" s="80"/>
      <c r="BP11" s="80"/>
      <c r="BQ11" s="80">
        <v>0</v>
      </c>
      <c r="BR11" s="80">
        <v>160</v>
      </c>
      <c r="BS11" s="80">
        <v>960</v>
      </c>
    </row>
    <row r="12" spans="1:82">
      <c r="A12" s="4" t="s">
        <v>31</v>
      </c>
      <c r="B12" s="4" t="s">
        <v>41</v>
      </c>
      <c r="C12" s="9">
        <v>1059911820</v>
      </c>
      <c r="D12" s="12">
        <v>46055</v>
      </c>
      <c r="E12" s="33">
        <v>46342</v>
      </c>
      <c r="F12" s="40">
        <f>(DAY(D12)-30-1)*-1</f>
        <v>29</v>
      </c>
      <c r="G12" s="41">
        <v>152</v>
      </c>
      <c r="H12" s="32">
        <v>128</v>
      </c>
      <c r="I12" s="32">
        <v>24</v>
      </c>
      <c r="J12" s="32">
        <f>H12+I12</f>
        <v>152</v>
      </c>
      <c r="K12" s="42">
        <f>G12-J12</f>
        <v>0</v>
      </c>
      <c r="L12" s="58">
        <v>160</v>
      </c>
      <c r="M12" s="58">
        <v>160</v>
      </c>
      <c r="N12" s="58">
        <v>8</v>
      </c>
      <c r="O12" s="58">
        <f>M12+N12</f>
        <v>168</v>
      </c>
      <c r="P12" s="58">
        <f>L12-O12</f>
        <v>-8</v>
      </c>
      <c r="Q12" s="65">
        <f>K12+P12</f>
        <v>-8</v>
      </c>
      <c r="R12" s="61">
        <v>160</v>
      </c>
      <c r="S12" s="61">
        <v>160</v>
      </c>
      <c r="T12" s="61">
        <v>8</v>
      </c>
      <c r="U12" s="61">
        <f>S12+T12</f>
        <v>168</v>
      </c>
      <c r="V12" s="61">
        <f>R12-U12</f>
        <v>-8</v>
      </c>
      <c r="W12" s="72">
        <f>Q12+V12</f>
        <v>-16</v>
      </c>
      <c r="X12" s="70">
        <v>160</v>
      </c>
      <c r="Y12" s="70">
        <v>160</v>
      </c>
      <c r="Z12" s="70"/>
      <c r="AA12" s="70">
        <f>Y12+Z12</f>
        <v>160</v>
      </c>
      <c r="AB12" s="70">
        <f>X12-AA12</f>
        <v>0</v>
      </c>
      <c r="AC12" s="73">
        <f>W12+AB12</f>
        <v>-16</v>
      </c>
      <c r="AD12" s="77">
        <v>160</v>
      </c>
      <c r="AE12" s="77">
        <v>160</v>
      </c>
      <c r="AF12" s="77"/>
      <c r="AG12" s="77">
        <f>AE12+AF12</f>
        <v>160</v>
      </c>
      <c r="AH12" s="77">
        <f>AD12-AG12</f>
        <v>0</v>
      </c>
      <c r="AI12" s="84">
        <f>AC12+AH12</f>
        <v>-16</v>
      </c>
      <c r="AJ12" s="80">
        <v>160</v>
      </c>
      <c r="AK12" s="80">
        <v>156</v>
      </c>
      <c r="AL12" s="80"/>
      <c r="AM12" s="80">
        <v>164</v>
      </c>
      <c r="AN12" s="80">
        <f>AJ12-AM12</f>
        <v>-4</v>
      </c>
      <c r="AO12" s="80">
        <f>AI12+AN12</f>
        <v>-20</v>
      </c>
      <c r="AP12" s="82">
        <v>160</v>
      </c>
      <c r="AQ12" s="82">
        <v>164</v>
      </c>
      <c r="AR12" s="82"/>
      <c r="AS12" s="82">
        <f>AQ12+AR12</f>
        <v>164</v>
      </c>
      <c r="AT12" s="82">
        <f>AP12-AS12</f>
        <v>-4</v>
      </c>
      <c r="AU12" s="82">
        <f>AO12+AT12</f>
        <v>-24</v>
      </c>
      <c r="AV12" s="77">
        <v>160</v>
      </c>
      <c r="AW12" s="77">
        <v>160</v>
      </c>
      <c r="AX12" s="77"/>
      <c r="AY12" s="77">
        <f>AW12+AX12</f>
        <v>160</v>
      </c>
      <c r="AZ12" s="77">
        <f>AV12-AY12</f>
        <v>0</v>
      </c>
      <c r="BA12" s="77">
        <f>AU12+AZ12</f>
        <v>-24</v>
      </c>
      <c r="BB12" s="58">
        <v>160</v>
      </c>
      <c r="BC12" s="58"/>
      <c r="BD12" s="58"/>
      <c r="BE12" s="58">
        <v>0</v>
      </c>
      <c r="BF12" s="58">
        <v>160</v>
      </c>
      <c r="BG12" s="58">
        <v>960</v>
      </c>
      <c r="BH12" s="77">
        <v>160</v>
      </c>
      <c r="BI12" s="77"/>
      <c r="BJ12" s="77"/>
      <c r="BK12" s="77">
        <v>0</v>
      </c>
      <c r="BL12" s="77">
        <v>160</v>
      </c>
      <c r="BM12" s="77">
        <v>960</v>
      </c>
      <c r="BN12" s="80">
        <v>160</v>
      </c>
      <c r="BO12" s="80"/>
      <c r="BP12" s="80"/>
      <c r="BQ12" s="80">
        <v>0</v>
      </c>
      <c r="BR12" s="80">
        <v>160</v>
      </c>
      <c r="BS12" s="80">
        <v>960</v>
      </c>
    </row>
    <row r="13" spans="1:82">
      <c r="A13" s="4" t="s">
        <v>31</v>
      </c>
      <c r="B13" s="121" t="s">
        <v>42</v>
      </c>
      <c r="C13" s="9">
        <v>1061699978</v>
      </c>
      <c r="D13" s="12">
        <v>46055</v>
      </c>
      <c r="E13" s="33">
        <v>46342</v>
      </c>
      <c r="F13" s="40">
        <f>(DAY(D13)-30-1)*-1</f>
        <v>29</v>
      </c>
      <c r="G13" s="41">
        <v>152</v>
      </c>
      <c r="H13" s="32">
        <v>128</v>
      </c>
      <c r="I13" s="32">
        <v>24</v>
      </c>
      <c r="J13" s="32">
        <f>H13+I13</f>
        <v>152</v>
      </c>
      <c r="K13" s="42">
        <f>G13-J13</f>
        <v>0</v>
      </c>
      <c r="L13" s="58">
        <v>160</v>
      </c>
      <c r="M13" s="58">
        <v>160</v>
      </c>
      <c r="N13" s="58">
        <v>8</v>
      </c>
      <c r="O13" s="58">
        <f>M13+N13</f>
        <v>168</v>
      </c>
      <c r="P13" s="58">
        <f>L13-O13</f>
        <v>-8</v>
      </c>
      <c r="Q13" s="65">
        <f>K13+P13</f>
        <v>-8</v>
      </c>
      <c r="R13" s="61">
        <v>160</v>
      </c>
      <c r="S13" s="61">
        <v>159</v>
      </c>
      <c r="T13" s="61">
        <v>8</v>
      </c>
      <c r="U13" s="61">
        <f>S13+T13</f>
        <v>167</v>
      </c>
      <c r="V13" s="61">
        <f>R13-U13</f>
        <v>-7</v>
      </c>
      <c r="W13" s="72">
        <f>Q13+V13</f>
        <v>-15</v>
      </c>
      <c r="X13" s="70">
        <v>160</v>
      </c>
      <c r="Y13" s="70">
        <v>160</v>
      </c>
      <c r="Z13" s="70"/>
      <c r="AA13" s="70">
        <f>Y13+Z13</f>
        <v>160</v>
      </c>
      <c r="AB13" s="70">
        <f>X13-AA13</f>
        <v>0</v>
      </c>
      <c r="AC13" s="73">
        <f>W13+AB13</f>
        <v>-15</v>
      </c>
      <c r="AD13" s="77">
        <v>160</v>
      </c>
      <c r="AE13" s="77">
        <v>160</v>
      </c>
      <c r="AF13" s="77"/>
      <c r="AG13" s="77">
        <f>AE13+AF13</f>
        <v>160</v>
      </c>
      <c r="AH13" s="77">
        <f>AD13-AG13</f>
        <v>0</v>
      </c>
      <c r="AI13" s="84">
        <f>AC13+AH13</f>
        <v>-15</v>
      </c>
      <c r="AJ13" s="80">
        <v>160</v>
      </c>
      <c r="AK13" s="80">
        <v>162</v>
      </c>
      <c r="AL13" s="80"/>
      <c r="AM13" s="80">
        <v>164</v>
      </c>
      <c r="AN13" s="80">
        <f>AJ13-AM13</f>
        <v>-4</v>
      </c>
      <c r="AO13" s="80">
        <f>AI13+AN13</f>
        <v>-19</v>
      </c>
      <c r="AP13" s="82">
        <v>160</v>
      </c>
      <c r="AQ13" s="82">
        <v>164</v>
      </c>
      <c r="AR13" s="82"/>
      <c r="AS13" s="82">
        <f>AQ13+AR13</f>
        <v>164</v>
      </c>
      <c r="AT13" s="82">
        <f>AP13-AS13</f>
        <v>-4</v>
      </c>
      <c r="AU13" s="82">
        <f>AO13+AT13</f>
        <v>-23</v>
      </c>
      <c r="AV13" s="77">
        <v>160</v>
      </c>
      <c r="AW13" s="77">
        <v>164</v>
      </c>
      <c r="AX13" s="77"/>
      <c r="AY13" s="77">
        <f>AW13+AX13</f>
        <v>164</v>
      </c>
      <c r="AZ13" s="77">
        <f>AV13-AY13</f>
        <v>-4</v>
      </c>
      <c r="BA13" s="77">
        <f>AU13+AZ13</f>
        <v>-27</v>
      </c>
      <c r="BB13" s="58">
        <v>160</v>
      </c>
      <c r="BC13" s="58"/>
      <c r="BD13" s="58"/>
      <c r="BE13" s="58">
        <v>0</v>
      </c>
      <c r="BF13" s="58">
        <v>160</v>
      </c>
      <c r="BG13" s="58">
        <v>960</v>
      </c>
      <c r="BH13" s="77">
        <v>160</v>
      </c>
      <c r="BI13" s="77"/>
      <c r="BJ13" s="77"/>
      <c r="BK13" s="77">
        <v>0</v>
      </c>
      <c r="BL13" s="77">
        <v>160</v>
      </c>
      <c r="BM13" s="77">
        <v>960</v>
      </c>
      <c r="BN13" s="80">
        <v>160</v>
      </c>
      <c r="BO13" s="80"/>
      <c r="BP13" s="80"/>
      <c r="BQ13" s="80">
        <v>0</v>
      </c>
      <c r="BR13" s="80">
        <v>160</v>
      </c>
      <c r="BS13" s="80">
        <v>960</v>
      </c>
    </row>
    <row r="14" spans="1:82">
      <c r="A14" s="4" t="s">
        <v>31</v>
      </c>
      <c r="B14" s="4" t="s">
        <v>43</v>
      </c>
      <c r="C14" s="9">
        <v>34567962</v>
      </c>
      <c r="D14" s="12">
        <v>46055</v>
      </c>
      <c r="E14" s="33">
        <v>46342</v>
      </c>
      <c r="F14" s="40">
        <f>(DAY(D14)-30-1)*-1</f>
        <v>29</v>
      </c>
      <c r="G14" s="41">
        <v>152</v>
      </c>
      <c r="H14" s="32">
        <v>128</v>
      </c>
      <c r="I14" s="32">
        <v>24</v>
      </c>
      <c r="J14" s="32">
        <f>H14+I14</f>
        <v>152</v>
      </c>
      <c r="K14" s="42">
        <f>G14-J14</f>
        <v>0</v>
      </c>
      <c r="L14" s="58">
        <v>160</v>
      </c>
      <c r="M14" s="58">
        <v>160</v>
      </c>
      <c r="N14" s="58">
        <v>8</v>
      </c>
      <c r="O14" s="58">
        <f>M14+N14</f>
        <v>168</v>
      </c>
      <c r="P14" s="58">
        <f>L14-O14</f>
        <v>-8</v>
      </c>
      <c r="Q14" s="65">
        <f>K14+P14</f>
        <v>-8</v>
      </c>
      <c r="R14" s="61">
        <v>160</v>
      </c>
      <c r="S14" s="61">
        <v>160</v>
      </c>
      <c r="T14" s="61">
        <v>8</v>
      </c>
      <c r="U14" s="61">
        <f>S14+T14</f>
        <v>168</v>
      </c>
      <c r="V14" s="61">
        <f>R14-U14</f>
        <v>-8</v>
      </c>
      <c r="W14" s="72">
        <f>Q14+V14</f>
        <v>-16</v>
      </c>
      <c r="X14" s="70">
        <v>160</v>
      </c>
      <c r="Y14" s="70">
        <v>160</v>
      </c>
      <c r="Z14" s="70"/>
      <c r="AA14" s="70">
        <f>Y14+Z14</f>
        <v>160</v>
      </c>
      <c r="AB14" s="70">
        <f>X14-AA14</f>
        <v>0</v>
      </c>
      <c r="AC14" s="73">
        <f>W14+AB14</f>
        <v>-16</v>
      </c>
      <c r="AD14" s="77">
        <v>160</v>
      </c>
      <c r="AE14" s="77">
        <v>160</v>
      </c>
      <c r="AF14" s="77"/>
      <c r="AG14" s="77">
        <f>AE14+AF14</f>
        <v>160</v>
      </c>
      <c r="AH14" s="77">
        <f>AD14-AG14</f>
        <v>0</v>
      </c>
      <c r="AI14" s="84">
        <f>AC14+AH14</f>
        <v>-16</v>
      </c>
      <c r="AJ14" s="80">
        <v>160</v>
      </c>
      <c r="AK14" s="80">
        <v>160</v>
      </c>
      <c r="AL14" s="80"/>
      <c r="AM14" s="80">
        <f>AK14+AL14</f>
        <v>160</v>
      </c>
      <c r="AN14" s="80">
        <f>AJ14-AM14</f>
        <v>0</v>
      </c>
      <c r="AO14" s="80">
        <f>AI14+AN14</f>
        <v>-16</v>
      </c>
      <c r="AP14" s="82">
        <v>160</v>
      </c>
      <c r="AQ14" s="82">
        <v>160</v>
      </c>
      <c r="AR14" s="82"/>
      <c r="AS14" s="82">
        <f>AQ14+AR14</f>
        <v>160</v>
      </c>
      <c r="AT14" s="82">
        <f>AP14-AS14</f>
        <v>0</v>
      </c>
      <c r="AU14" s="82">
        <f>AO14+AT14</f>
        <v>-16</v>
      </c>
      <c r="AV14" s="77">
        <v>160</v>
      </c>
      <c r="AW14" s="77">
        <v>160</v>
      </c>
      <c r="AX14" s="77"/>
      <c r="AY14" s="77">
        <f>AW14+AX14</f>
        <v>160</v>
      </c>
      <c r="AZ14" s="77">
        <f>AV14-AY14</f>
        <v>0</v>
      </c>
      <c r="BA14" s="77">
        <f>AU14+AZ14</f>
        <v>-16</v>
      </c>
      <c r="BB14" s="58">
        <v>160</v>
      </c>
      <c r="BC14" s="58"/>
      <c r="BD14" s="58"/>
      <c r="BE14" s="58">
        <v>0</v>
      </c>
      <c r="BF14" s="58">
        <v>160</v>
      </c>
      <c r="BG14" s="58">
        <v>960</v>
      </c>
      <c r="BH14" s="77">
        <v>160</v>
      </c>
      <c r="BI14" s="77"/>
      <c r="BJ14" s="77"/>
      <c r="BK14" s="77">
        <v>0</v>
      </c>
      <c r="BL14" s="77">
        <v>160</v>
      </c>
      <c r="BM14" s="77">
        <v>960</v>
      </c>
      <c r="BN14" s="80">
        <v>160</v>
      </c>
      <c r="BO14" s="80"/>
      <c r="BP14" s="80"/>
      <c r="BQ14" s="80">
        <v>0</v>
      </c>
      <c r="BR14" s="80">
        <v>160</v>
      </c>
      <c r="BS14" s="80">
        <v>960</v>
      </c>
    </row>
    <row r="15" spans="1:82">
      <c r="A15" s="4" t="s">
        <v>31</v>
      </c>
      <c r="B15" s="4" t="s">
        <v>44</v>
      </c>
      <c r="C15" s="9">
        <v>4613838</v>
      </c>
      <c r="D15" s="12">
        <v>46209</v>
      </c>
      <c r="E15" s="33">
        <v>46371</v>
      </c>
      <c r="F15" s="40">
        <f>(DAY(D15)-30-1)*-1</f>
        <v>25</v>
      </c>
      <c r="G15" s="41">
        <v>152</v>
      </c>
      <c r="H15" s="32">
        <v>128</v>
      </c>
      <c r="I15" s="32">
        <v>24</v>
      </c>
      <c r="J15" s="32">
        <f>H15+I15</f>
        <v>152</v>
      </c>
      <c r="K15" s="42">
        <f>G15-J15</f>
        <v>0</v>
      </c>
      <c r="L15" s="58">
        <v>160</v>
      </c>
      <c r="M15" s="58">
        <v>160</v>
      </c>
      <c r="N15" s="58">
        <v>8</v>
      </c>
      <c r="O15" s="58">
        <f>M15+N15</f>
        <v>168</v>
      </c>
      <c r="P15" s="58">
        <f>L15-O15</f>
        <v>-8</v>
      </c>
      <c r="Q15" s="65">
        <f>K15+P15</f>
        <v>-8</v>
      </c>
      <c r="R15" s="61">
        <v>160</v>
      </c>
      <c r="S15" s="61">
        <v>160</v>
      </c>
      <c r="T15" s="61">
        <v>8</v>
      </c>
      <c r="U15" s="61">
        <f>S15+T15</f>
        <v>168</v>
      </c>
      <c r="V15" s="61">
        <f>R15-U15</f>
        <v>-8</v>
      </c>
      <c r="W15" s="72">
        <f>Q15+V15</f>
        <v>-16</v>
      </c>
      <c r="X15" s="70">
        <v>160</v>
      </c>
      <c r="Y15" s="70">
        <v>160</v>
      </c>
      <c r="Z15" s="70"/>
      <c r="AA15" s="70">
        <f>Y15+Z15</f>
        <v>160</v>
      </c>
      <c r="AB15" s="70">
        <f>X15-AA15</f>
        <v>0</v>
      </c>
      <c r="AC15" s="73">
        <f>W15+AB15</f>
        <v>-16</v>
      </c>
      <c r="AD15" s="77">
        <v>160</v>
      </c>
      <c r="AE15" s="77">
        <v>160</v>
      </c>
      <c r="AF15" s="77"/>
      <c r="AG15" s="77">
        <f>AE15+AF15</f>
        <v>160</v>
      </c>
      <c r="AH15" s="77">
        <f>AD15-AG15</f>
        <v>0</v>
      </c>
      <c r="AI15" s="84">
        <f>AC15+AH15</f>
        <v>-16</v>
      </c>
      <c r="AJ15" s="80">
        <v>128</v>
      </c>
      <c r="AK15" s="80">
        <v>136</v>
      </c>
      <c r="AL15" s="80"/>
      <c r="AM15" s="80">
        <f>+AK15+AL15</f>
        <v>136</v>
      </c>
      <c r="AN15" s="80">
        <f>AJ15-AM15</f>
        <v>-8</v>
      </c>
      <c r="AO15" s="80">
        <f>AI15+AN15</f>
        <v>-24</v>
      </c>
      <c r="AP15" s="82">
        <v>160</v>
      </c>
      <c r="AQ15" s="82">
        <v>160</v>
      </c>
      <c r="AR15" s="82"/>
      <c r="AS15" s="82">
        <f>AQ15+AR15</f>
        <v>160</v>
      </c>
      <c r="AT15" s="82">
        <f>AP15-AS15</f>
        <v>0</v>
      </c>
      <c r="AU15" s="82">
        <f>AO15+AT15</f>
        <v>-24</v>
      </c>
      <c r="AV15" s="77">
        <v>160</v>
      </c>
      <c r="AW15" s="77">
        <v>168</v>
      </c>
      <c r="AX15" s="77"/>
      <c r="AY15" s="77">
        <f>AW15+AX15</f>
        <v>168</v>
      </c>
      <c r="AZ15" s="77">
        <f>AV15-AY15</f>
        <v>-8</v>
      </c>
      <c r="BA15" s="77">
        <f>AU15+AZ15</f>
        <v>-32</v>
      </c>
      <c r="BB15" s="58">
        <v>160</v>
      </c>
      <c r="BC15" s="58"/>
      <c r="BD15" s="58"/>
      <c r="BE15" s="58">
        <v>0</v>
      </c>
      <c r="BF15" s="58">
        <v>160</v>
      </c>
      <c r="BG15" s="58">
        <v>960</v>
      </c>
      <c r="BH15" s="77">
        <v>160</v>
      </c>
      <c r="BI15" s="77"/>
      <c r="BJ15" s="77"/>
      <c r="BK15" s="77">
        <v>0</v>
      </c>
      <c r="BL15" s="77">
        <v>160</v>
      </c>
      <c r="BM15" s="77">
        <v>960</v>
      </c>
      <c r="BN15" s="80">
        <v>160</v>
      </c>
      <c r="BO15" s="80"/>
      <c r="BP15" s="80"/>
      <c r="BQ15" s="80">
        <v>0</v>
      </c>
      <c r="BR15" s="80">
        <v>160</v>
      </c>
      <c r="BS15" s="80">
        <v>960</v>
      </c>
    </row>
    <row r="16" spans="1:82">
      <c r="A16" s="4" t="s">
        <v>31</v>
      </c>
      <c r="B16" s="4" t="s">
        <v>45</v>
      </c>
      <c r="C16" s="9">
        <v>34565110</v>
      </c>
      <c r="D16" s="12">
        <v>46055</v>
      </c>
      <c r="E16" s="33">
        <v>46342</v>
      </c>
      <c r="F16" s="40">
        <f>(DAY(D16)-30-1)*-1</f>
        <v>29</v>
      </c>
      <c r="G16" s="41">
        <v>152</v>
      </c>
      <c r="H16" s="32">
        <v>128</v>
      </c>
      <c r="I16" s="32">
        <v>24</v>
      </c>
      <c r="J16" s="32">
        <f>H16+I16</f>
        <v>152</v>
      </c>
      <c r="K16" s="42">
        <f>G16-J16</f>
        <v>0</v>
      </c>
      <c r="L16" s="58">
        <v>160</v>
      </c>
      <c r="M16" s="58">
        <v>160</v>
      </c>
      <c r="N16" s="58">
        <v>8</v>
      </c>
      <c r="O16" s="58">
        <f>M16+N16</f>
        <v>168</v>
      </c>
      <c r="P16" s="58">
        <f>L16-O16</f>
        <v>-8</v>
      </c>
      <c r="Q16" s="65">
        <f>K16+P16</f>
        <v>-8</v>
      </c>
      <c r="R16" s="61">
        <v>160</v>
      </c>
      <c r="S16" s="61">
        <v>160</v>
      </c>
      <c r="T16" s="61">
        <v>8</v>
      </c>
      <c r="U16" s="61">
        <f>S16+T16</f>
        <v>168</v>
      </c>
      <c r="V16" s="61">
        <f>R16-U16</f>
        <v>-8</v>
      </c>
      <c r="W16" s="72">
        <f>Q16+V16</f>
        <v>-16</v>
      </c>
      <c r="X16" s="70">
        <v>160</v>
      </c>
      <c r="Y16" s="70">
        <v>154</v>
      </c>
      <c r="Z16" s="70"/>
      <c r="AA16" s="70">
        <f>Y16+Z16</f>
        <v>154</v>
      </c>
      <c r="AB16" s="70">
        <f>X16-AA16</f>
        <v>6</v>
      </c>
      <c r="AC16" s="73">
        <f>W16+AB16</f>
        <v>-10</v>
      </c>
      <c r="AD16" s="77">
        <v>160</v>
      </c>
      <c r="AE16" s="77">
        <v>154</v>
      </c>
      <c r="AF16" s="77"/>
      <c r="AG16" s="77">
        <f>AE16+AF16</f>
        <v>154</v>
      </c>
      <c r="AH16" s="77">
        <f>AD16-AG16</f>
        <v>6</v>
      </c>
      <c r="AI16" s="84">
        <f>AC16+AH16</f>
        <v>-4</v>
      </c>
      <c r="AJ16" s="80">
        <v>160</v>
      </c>
      <c r="AK16" s="80">
        <v>172</v>
      </c>
      <c r="AL16" s="80"/>
      <c r="AM16" s="80">
        <f>+AK16+AL16</f>
        <v>172</v>
      </c>
      <c r="AN16" s="80">
        <f>AJ16-AM16</f>
        <v>-12</v>
      </c>
      <c r="AO16" s="80">
        <f>AI16+AN16</f>
        <v>-16</v>
      </c>
      <c r="AP16" s="82">
        <v>160</v>
      </c>
      <c r="AQ16" s="82">
        <v>160</v>
      </c>
      <c r="AR16" s="82"/>
      <c r="AS16" s="82">
        <f>AQ16+AR16</f>
        <v>160</v>
      </c>
      <c r="AT16" s="82">
        <f>AP16-AS16</f>
        <v>0</v>
      </c>
      <c r="AU16" s="82">
        <f>AO16+AT16</f>
        <v>-16</v>
      </c>
      <c r="AV16" s="77">
        <v>160</v>
      </c>
      <c r="AW16" s="77">
        <v>160</v>
      </c>
      <c r="AX16" s="77"/>
      <c r="AY16" s="77">
        <f>AW16+AX16</f>
        <v>160</v>
      </c>
      <c r="AZ16" s="77">
        <f>AV16-AY16</f>
        <v>0</v>
      </c>
      <c r="BA16" s="77">
        <f>AU16+AZ16</f>
        <v>-16</v>
      </c>
      <c r="BB16" s="58">
        <v>160</v>
      </c>
      <c r="BC16" s="58"/>
      <c r="BD16" s="58"/>
      <c r="BE16" s="58">
        <v>0</v>
      </c>
      <c r="BF16" s="58">
        <v>160</v>
      </c>
      <c r="BG16" s="58">
        <v>960</v>
      </c>
      <c r="BH16" s="77">
        <v>160</v>
      </c>
      <c r="BI16" s="77"/>
      <c r="BJ16" s="77"/>
      <c r="BK16" s="77">
        <v>0</v>
      </c>
      <c r="BL16" s="77">
        <v>160</v>
      </c>
      <c r="BM16" s="77">
        <v>960</v>
      </c>
      <c r="BN16" s="80">
        <v>160</v>
      </c>
      <c r="BO16" s="80"/>
      <c r="BP16" s="80"/>
      <c r="BQ16" s="80">
        <v>0</v>
      </c>
      <c r="BR16" s="80">
        <v>160</v>
      </c>
      <c r="BS16" s="80">
        <v>960</v>
      </c>
    </row>
    <row r="17" spans="1:71">
      <c r="A17" s="4" t="s">
        <v>31</v>
      </c>
      <c r="B17" s="4" t="s">
        <v>46</v>
      </c>
      <c r="C17" s="9">
        <v>1061787312</v>
      </c>
      <c r="D17" s="12">
        <v>46055</v>
      </c>
      <c r="E17" s="33">
        <v>46356</v>
      </c>
      <c r="F17" s="40">
        <f>(DAY(D17)-30-1)*-1</f>
        <v>29</v>
      </c>
      <c r="G17" s="41">
        <v>152</v>
      </c>
      <c r="H17" s="32">
        <v>128</v>
      </c>
      <c r="I17" s="32">
        <v>24</v>
      </c>
      <c r="J17" s="32">
        <f>H17+I17</f>
        <v>152</v>
      </c>
      <c r="K17" s="42">
        <f>G17-J17</f>
        <v>0</v>
      </c>
      <c r="L17" s="58">
        <v>160</v>
      </c>
      <c r="M17" s="58">
        <v>160</v>
      </c>
      <c r="N17" s="58">
        <v>0</v>
      </c>
      <c r="O17" s="58">
        <f>M17+N17</f>
        <v>160</v>
      </c>
      <c r="P17" s="58">
        <f>L17-O17</f>
        <v>0</v>
      </c>
      <c r="Q17" s="65">
        <f>K17+P17</f>
        <v>0</v>
      </c>
      <c r="R17" s="61">
        <v>160</v>
      </c>
      <c r="S17" s="61">
        <v>160</v>
      </c>
      <c r="T17" s="61">
        <v>8</v>
      </c>
      <c r="U17" s="61">
        <f>S17+T17</f>
        <v>168</v>
      </c>
      <c r="V17" s="61">
        <f>R17-U17</f>
        <v>-8</v>
      </c>
      <c r="W17" s="72">
        <f>Q17+V17</f>
        <v>-8</v>
      </c>
      <c r="X17" s="70">
        <v>160</v>
      </c>
      <c r="Y17" s="70">
        <v>160</v>
      </c>
      <c r="Z17" s="70"/>
      <c r="AA17" s="70">
        <f>Y17+Z17</f>
        <v>160</v>
      </c>
      <c r="AB17" s="70">
        <f>X17-AA17</f>
        <v>0</v>
      </c>
      <c r="AC17" s="73">
        <f>W17+AB17</f>
        <v>-8</v>
      </c>
      <c r="AD17" s="77">
        <v>160</v>
      </c>
      <c r="AE17" s="77">
        <v>160</v>
      </c>
      <c r="AF17" s="77"/>
      <c r="AG17" s="77">
        <f>AE17+AF17</f>
        <v>160</v>
      </c>
      <c r="AH17" s="77">
        <f>AD17-AG17</f>
        <v>0</v>
      </c>
      <c r="AI17" s="84">
        <f>AC17+AH17</f>
        <v>-8</v>
      </c>
      <c r="AJ17" s="80">
        <v>160</v>
      </c>
      <c r="AK17" s="80">
        <v>160</v>
      </c>
      <c r="AL17" s="80"/>
      <c r="AM17" s="80">
        <f>AK17+AL17</f>
        <v>160</v>
      </c>
      <c r="AN17" s="80">
        <f>AJ17-AM17</f>
        <v>0</v>
      </c>
      <c r="AO17" s="80">
        <f>AI17+AN17</f>
        <v>-8</v>
      </c>
      <c r="AP17" s="82">
        <v>160</v>
      </c>
      <c r="AQ17" s="82">
        <v>128</v>
      </c>
      <c r="AR17" s="82"/>
      <c r="AS17" s="82">
        <f>AQ17+AR17</f>
        <v>128</v>
      </c>
      <c r="AT17" s="82">
        <f>AP17-AS17</f>
        <v>32</v>
      </c>
      <c r="AU17" s="82">
        <f>AO17+AT17</f>
        <v>24</v>
      </c>
      <c r="AV17" s="77">
        <v>160</v>
      </c>
      <c r="AW17" s="77">
        <v>176</v>
      </c>
      <c r="AX17" s="77"/>
      <c r="AY17" s="77">
        <f>AW17+AX17</f>
        <v>176</v>
      </c>
      <c r="AZ17" s="77">
        <f>AV17-AY17</f>
        <v>-16</v>
      </c>
      <c r="BA17" s="77">
        <f>AU17+AZ17</f>
        <v>8</v>
      </c>
      <c r="BB17" s="58">
        <v>160</v>
      </c>
      <c r="BC17" s="58"/>
      <c r="BD17" s="58"/>
      <c r="BE17" s="58">
        <v>0</v>
      </c>
      <c r="BF17" s="58">
        <v>160</v>
      </c>
      <c r="BG17" s="58">
        <v>960</v>
      </c>
      <c r="BH17" s="77">
        <v>160</v>
      </c>
      <c r="BI17" s="77"/>
      <c r="BJ17" s="77"/>
      <c r="BK17" s="77">
        <v>0</v>
      </c>
      <c r="BL17" s="77">
        <v>160</v>
      </c>
      <c r="BM17" s="77">
        <v>960</v>
      </c>
      <c r="BN17" s="80">
        <v>160</v>
      </c>
      <c r="BO17" s="80"/>
      <c r="BP17" s="80"/>
      <c r="BQ17" s="80">
        <v>0</v>
      </c>
      <c r="BR17" s="80">
        <v>160</v>
      </c>
      <c r="BS17" s="80">
        <v>960</v>
      </c>
    </row>
    <row r="18" spans="1:71">
      <c r="A18" s="4" t="s">
        <v>31</v>
      </c>
      <c r="B18" s="4" t="s">
        <v>47</v>
      </c>
      <c r="C18" s="9">
        <v>76322011</v>
      </c>
      <c r="D18" s="12">
        <v>46055</v>
      </c>
      <c r="E18" s="33">
        <v>46356</v>
      </c>
      <c r="F18" s="40">
        <f>(DAY(D18)-30-1)*-1</f>
        <v>29</v>
      </c>
      <c r="G18" s="41">
        <v>152</v>
      </c>
      <c r="H18" s="32">
        <v>128</v>
      </c>
      <c r="I18" s="32">
        <v>24</v>
      </c>
      <c r="J18" s="32">
        <f>H18+I18</f>
        <v>152</v>
      </c>
      <c r="K18" s="42">
        <f>G18-J18</f>
        <v>0</v>
      </c>
      <c r="L18" s="58">
        <v>160</v>
      </c>
      <c r="M18" s="58">
        <v>152</v>
      </c>
      <c r="N18" s="58">
        <v>8</v>
      </c>
      <c r="O18" s="58">
        <f>M18+N18</f>
        <v>160</v>
      </c>
      <c r="P18" s="58">
        <f>L18-O18</f>
        <v>0</v>
      </c>
      <c r="Q18" s="65">
        <f>K18+P18</f>
        <v>0</v>
      </c>
      <c r="R18" s="61">
        <v>160</v>
      </c>
      <c r="S18" s="61">
        <v>160</v>
      </c>
      <c r="T18" s="61">
        <v>8</v>
      </c>
      <c r="U18" s="61">
        <f>S18+T18</f>
        <v>168</v>
      </c>
      <c r="V18" s="61">
        <f>R18-U18</f>
        <v>-8</v>
      </c>
      <c r="W18" s="72">
        <f>Q18+V18</f>
        <v>-8</v>
      </c>
      <c r="X18" s="70">
        <v>160</v>
      </c>
      <c r="Y18" s="70">
        <v>160</v>
      </c>
      <c r="Z18" s="70"/>
      <c r="AA18" s="70">
        <f>Y18+Z18</f>
        <v>160</v>
      </c>
      <c r="AB18" s="70">
        <f>X18-AA18</f>
        <v>0</v>
      </c>
      <c r="AC18" s="73">
        <f>W18+AB18</f>
        <v>-8</v>
      </c>
      <c r="AD18" s="77">
        <v>160</v>
      </c>
      <c r="AE18" s="77">
        <v>160</v>
      </c>
      <c r="AF18" s="77"/>
      <c r="AG18" s="77">
        <f>AE18+AF18</f>
        <v>160</v>
      </c>
      <c r="AH18" s="77">
        <f>AD18-AG18</f>
        <v>0</v>
      </c>
      <c r="AI18" s="84">
        <f>AC18+AH18</f>
        <v>-8</v>
      </c>
      <c r="AJ18" s="80">
        <v>160</v>
      </c>
      <c r="AK18" s="80">
        <v>160</v>
      </c>
      <c r="AL18" s="80"/>
      <c r="AM18" s="80">
        <f>AK18+AL18</f>
        <v>160</v>
      </c>
      <c r="AN18" s="80">
        <f>AJ18-AM18</f>
        <v>0</v>
      </c>
      <c r="AO18" s="80">
        <f>AI18+AN18</f>
        <v>-8</v>
      </c>
      <c r="AP18" s="82">
        <v>160</v>
      </c>
      <c r="AQ18" s="82">
        <v>156</v>
      </c>
      <c r="AR18" s="82"/>
      <c r="AS18" s="82">
        <f>AQ18+AR18</f>
        <v>156</v>
      </c>
      <c r="AT18" s="82">
        <f>AP18-AS18</f>
        <v>4</v>
      </c>
      <c r="AU18" s="82">
        <f>AO18+AT18</f>
        <v>-4</v>
      </c>
      <c r="AV18" s="77">
        <v>160</v>
      </c>
      <c r="AW18" s="77">
        <v>164</v>
      </c>
      <c r="AX18" s="77"/>
      <c r="AY18" s="77">
        <f>AW18+AX18</f>
        <v>164</v>
      </c>
      <c r="AZ18" s="77">
        <f>AV18-AY18</f>
        <v>-4</v>
      </c>
      <c r="BA18" s="77">
        <f>AU18+AZ18</f>
        <v>-8</v>
      </c>
      <c r="BB18" s="58">
        <v>160</v>
      </c>
      <c r="BC18" s="58"/>
      <c r="BD18" s="58"/>
      <c r="BE18" s="58">
        <v>0</v>
      </c>
      <c r="BF18" s="58">
        <v>160</v>
      </c>
      <c r="BG18" s="58">
        <v>960</v>
      </c>
      <c r="BH18" s="77">
        <v>160</v>
      </c>
      <c r="BI18" s="77"/>
      <c r="BJ18" s="77"/>
      <c r="BK18" s="77">
        <v>0</v>
      </c>
      <c r="BL18" s="77">
        <v>160</v>
      </c>
      <c r="BM18" s="77">
        <v>960</v>
      </c>
      <c r="BN18" s="80">
        <v>160</v>
      </c>
      <c r="BO18" s="80"/>
      <c r="BP18" s="80"/>
      <c r="BQ18" s="80">
        <v>0</v>
      </c>
      <c r="BR18" s="80">
        <v>160</v>
      </c>
      <c r="BS18" s="80">
        <v>960</v>
      </c>
    </row>
    <row r="19" spans="1:71">
      <c r="A19" s="4" t="s">
        <v>31</v>
      </c>
      <c r="B19" s="4" t="s">
        <v>48</v>
      </c>
      <c r="C19" s="9">
        <v>34530250</v>
      </c>
      <c r="D19" s="12">
        <v>46055</v>
      </c>
      <c r="E19" s="33">
        <v>46368</v>
      </c>
      <c r="F19" s="40">
        <f>(DAY(D19)-30-1)*-1</f>
        <v>29</v>
      </c>
      <c r="G19" s="41">
        <v>152</v>
      </c>
      <c r="H19" s="32">
        <v>128</v>
      </c>
      <c r="I19" s="32">
        <v>24</v>
      </c>
      <c r="J19" s="32">
        <f>H19+I19</f>
        <v>152</v>
      </c>
      <c r="K19" s="42">
        <f>G19-J19</f>
        <v>0</v>
      </c>
      <c r="L19" s="58">
        <v>160</v>
      </c>
      <c r="M19" s="58">
        <v>160</v>
      </c>
      <c r="N19" s="58">
        <v>8</v>
      </c>
      <c r="O19" s="58">
        <f>M19+N19</f>
        <v>168</v>
      </c>
      <c r="P19" s="58">
        <f>L19-O19</f>
        <v>-8</v>
      </c>
      <c r="Q19" s="65">
        <f>K19+P19</f>
        <v>-8</v>
      </c>
      <c r="R19" s="61">
        <v>160</v>
      </c>
      <c r="S19" s="61">
        <v>160</v>
      </c>
      <c r="T19" s="61">
        <v>8</v>
      </c>
      <c r="U19" s="61">
        <f>S19+T19</f>
        <v>168</v>
      </c>
      <c r="V19" s="61">
        <f>R19-U19</f>
        <v>-8</v>
      </c>
      <c r="W19" s="72">
        <f>Q19+V19</f>
        <v>-16</v>
      </c>
      <c r="X19" s="70">
        <v>160</v>
      </c>
      <c r="Y19" s="70">
        <v>160</v>
      </c>
      <c r="Z19" s="70"/>
      <c r="AA19" s="70">
        <f>Y19+Z19</f>
        <v>160</v>
      </c>
      <c r="AB19" s="70">
        <f>X19-AA19</f>
        <v>0</v>
      </c>
      <c r="AC19" s="73">
        <f>W19+AB19</f>
        <v>-16</v>
      </c>
      <c r="AD19" s="77">
        <v>160</v>
      </c>
      <c r="AE19" s="77">
        <v>160</v>
      </c>
      <c r="AF19" s="77"/>
      <c r="AG19" s="77">
        <f>AE19+AF19</f>
        <v>160</v>
      </c>
      <c r="AH19" s="77">
        <f>AD19-AG19</f>
        <v>0</v>
      </c>
      <c r="AI19" s="84">
        <f>AC19+AH19</f>
        <v>-16</v>
      </c>
      <c r="AJ19" s="80">
        <v>160</v>
      </c>
      <c r="AK19" s="80">
        <v>160</v>
      </c>
      <c r="AL19" s="80"/>
      <c r="AM19" s="80">
        <f>AK19+AL19</f>
        <v>160</v>
      </c>
      <c r="AN19" s="80">
        <f>AJ19-AM19</f>
        <v>0</v>
      </c>
      <c r="AO19" s="80">
        <f>AI19+AN19</f>
        <v>-16</v>
      </c>
      <c r="AP19" s="82">
        <v>160</v>
      </c>
      <c r="AQ19" s="82">
        <v>160</v>
      </c>
      <c r="AR19" s="82"/>
      <c r="AS19" s="82">
        <f>AQ19+AR19</f>
        <v>160</v>
      </c>
      <c r="AT19" s="82">
        <f>AP19-AS19</f>
        <v>0</v>
      </c>
      <c r="AU19" s="82">
        <f>AO19+AT19</f>
        <v>-16</v>
      </c>
      <c r="AV19" s="77">
        <v>160</v>
      </c>
      <c r="AW19" s="77">
        <v>160</v>
      </c>
      <c r="AX19" s="77"/>
      <c r="AY19" s="77">
        <f>AW19+AX19</f>
        <v>160</v>
      </c>
      <c r="AZ19" s="77">
        <f>AV19-AY19</f>
        <v>0</v>
      </c>
      <c r="BA19" s="77">
        <f>AU19+AZ19</f>
        <v>-16</v>
      </c>
      <c r="BB19" s="58">
        <v>160</v>
      </c>
      <c r="BC19" s="58"/>
      <c r="BD19" s="58"/>
      <c r="BE19" s="58">
        <v>0</v>
      </c>
      <c r="BF19" s="58">
        <v>160</v>
      </c>
      <c r="BG19" s="58">
        <v>960</v>
      </c>
      <c r="BH19" s="77">
        <v>160</v>
      </c>
      <c r="BI19" s="77"/>
      <c r="BJ19" s="77"/>
      <c r="BK19" s="77">
        <v>0</v>
      </c>
      <c r="BL19" s="77">
        <v>160</v>
      </c>
      <c r="BM19" s="77">
        <v>960</v>
      </c>
      <c r="BN19" s="80">
        <v>160</v>
      </c>
      <c r="BO19" s="80"/>
      <c r="BP19" s="80"/>
      <c r="BQ19" s="80">
        <v>0</v>
      </c>
      <c r="BR19" s="80">
        <v>160</v>
      </c>
      <c r="BS19" s="80">
        <v>960</v>
      </c>
    </row>
    <row r="20" spans="1:71">
      <c r="A20" s="4" t="s">
        <v>31</v>
      </c>
      <c r="B20" s="4" t="s">
        <v>49</v>
      </c>
      <c r="C20" s="9">
        <v>76307215</v>
      </c>
      <c r="D20" s="12">
        <v>46055</v>
      </c>
      <c r="E20" s="33">
        <v>46342</v>
      </c>
      <c r="F20" s="40">
        <f>(DAY(D20)-30-1)*-1</f>
        <v>29</v>
      </c>
      <c r="G20" s="41">
        <v>152</v>
      </c>
      <c r="H20" s="32">
        <v>128</v>
      </c>
      <c r="I20" s="32">
        <v>24</v>
      </c>
      <c r="J20" s="32">
        <f>H20+I20</f>
        <v>152</v>
      </c>
      <c r="K20" s="42">
        <f>G20-J20</f>
        <v>0</v>
      </c>
      <c r="L20" s="58">
        <v>160</v>
      </c>
      <c r="M20" s="58">
        <v>160</v>
      </c>
      <c r="N20" s="58">
        <v>8</v>
      </c>
      <c r="O20" s="58">
        <f>M20+N20</f>
        <v>168</v>
      </c>
      <c r="P20" s="58">
        <f>L20-O20</f>
        <v>-8</v>
      </c>
      <c r="Q20" s="65">
        <f>K20+P20</f>
        <v>-8</v>
      </c>
      <c r="R20" s="61">
        <v>160</v>
      </c>
      <c r="S20" s="61">
        <v>160</v>
      </c>
      <c r="T20" s="61">
        <v>8</v>
      </c>
      <c r="U20" s="61">
        <f>S20+T20</f>
        <v>168</v>
      </c>
      <c r="V20" s="61">
        <f>R20-U20</f>
        <v>-8</v>
      </c>
      <c r="W20" s="72">
        <f>Q20+V20</f>
        <v>-16</v>
      </c>
      <c r="X20" s="70">
        <v>160</v>
      </c>
      <c r="Y20" s="70">
        <v>160</v>
      </c>
      <c r="Z20" s="70"/>
      <c r="AA20" s="70">
        <f>Y20+Z20</f>
        <v>160</v>
      </c>
      <c r="AB20" s="70">
        <f>X20-AA20</f>
        <v>0</v>
      </c>
      <c r="AC20" s="73">
        <f>W20+AB20</f>
        <v>-16</v>
      </c>
      <c r="AD20" s="77">
        <v>160</v>
      </c>
      <c r="AE20" s="77">
        <v>158</v>
      </c>
      <c r="AF20" s="77"/>
      <c r="AG20" s="77">
        <f>AE20+AF20</f>
        <v>158</v>
      </c>
      <c r="AH20" s="77">
        <f>AD20-AG20</f>
        <v>2</v>
      </c>
      <c r="AI20" s="84">
        <f>AC20+AH20</f>
        <v>-14</v>
      </c>
      <c r="AJ20" s="80">
        <v>160</v>
      </c>
      <c r="AK20" s="80">
        <v>162</v>
      </c>
      <c r="AL20" s="80"/>
      <c r="AM20" s="80">
        <v>160</v>
      </c>
      <c r="AN20" s="80">
        <f>AJ20-AM20</f>
        <v>0</v>
      </c>
      <c r="AO20" s="80">
        <f>AI20+AN20</f>
        <v>-14</v>
      </c>
      <c r="AP20" s="82">
        <v>160</v>
      </c>
      <c r="AQ20" s="82">
        <v>160</v>
      </c>
      <c r="AR20" s="82"/>
      <c r="AS20" s="82">
        <f>AQ20+AR20</f>
        <v>160</v>
      </c>
      <c r="AT20" s="82">
        <f>AP20-AS20</f>
        <v>0</v>
      </c>
      <c r="AU20" s="82">
        <f>AO20+AT20</f>
        <v>-14</v>
      </c>
      <c r="AV20" s="77">
        <v>160</v>
      </c>
      <c r="AW20" s="77">
        <v>160</v>
      </c>
      <c r="AX20" s="77"/>
      <c r="AY20" s="77">
        <f>AW20+AX20</f>
        <v>160</v>
      </c>
      <c r="AZ20" s="77">
        <f>AV20-AY20</f>
        <v>0</v>
      </c>
      <c r="BA20" s="77">
        <f>AU20+AZ20</f>
        <v>-14</v>
      </c>
      <c r="BB20" s="58">
        <v>160</v>
      </c>
      <c r="BC20" s="58"/>
      <c r="BD20" s="58"/>
      <c r="BE20" s="58">
        <v>0</v>
      </c>
      <c r="BF20" s="58">
        <v>160</v>
      </c>
      <c r="BG20" s="58">
        <v>960</v>
      </c>
      <c r="BH20" s="77">
        <v>160</v>
      </c>
      <c r="BI20" s="77"/>
      <c r="BJ20" s="77"/>
      <c r="BK20" s="77">
        <v>0</v>
      </c>
      <c r="BL20" s="77">
        <v>160</v>
      </c>
      <c r="BM20" s="77">
        <v>960</v>
      </c>
      <c r="BN20" s="80">
        <v>160</v>
      </c>
      <c r="BO20" s="80"/>
      <c r="BP20" s="80"/>
      <c r="BQ20" s="80">
        <v>0</v>
      </c>
      <c r="BR20" s="80">
        <v>160</v>
      </c>
      <c r="BS20" s="80">
        <v>960</v>
      </c>
    </row>
    <row r="21" spans="1:71">
      <c r="A21" s="4" t="s">
        <v>31</v>
      </c>
      <c r="B21" s="4" t="s">
        <v>50</v>
      </c>
      <c r="C21" s="9">
        <v>35513559</v>
      </c>
      <c r="D21" s="12">
        <v>46055</v>
      </c>
      <c r="E21" s="33">
        <v>46362</v>
      </c>
      <c r="F21" s="40">
        <f>(DAY(D21)-30-1)*-1</f>
        <v>29</v>
      </c>
      <c r="G21" s="41">
        <v>152</v>
      </c>
      <c r="H21" s="32">
        <v>128</v>
      </c>
      <c r="I21" s="32">
        <v>24</v>
      </c>
      <c r="J21" s="32">
        <f>H21+I21</f>
        <v>152</v>
      </c>
      <c r="K21" s="42">
        <f>G21-J21</f>
        <v>0</v>
      </c>
      <c r="L21" s="58">
        <v>160</v>
      </c>
      <c r="M21" s="58">
        <v>152</v>
      </c>
      <c r="N21" s="58">
        <v>8</v>
      </c>
      <c r="O21" s="58">
        <f>M21+N21</f>
        <v>160</v>
      </c>
      <c r="P21" s="58">
        <f>L21-O21</f>
        <v>0</v>
      </c>
      <c r="Q21" s="65">
        <f>K21+P21</f>
        <v>0</v>
      </c>
      <c r="R21" s="61">
        <v>160</v>
      </c>
      <c r="S21" s="61">
        <v>160</v>
      </c>
      <c r="T21" s="61">
        <v>8</v>
      </c>
      <c r="U21" s="61">
        <f>S21+T21</f>
        <v>168</v>
      </c>
      <c r="V21" s="61">
        <f>R21-U21</f>
        <v>-8</v>
      </c>
      <c r="W21" s="72">
        <f>Q21+V21</f>
        <v>-8</v>
      </c>
      <c r="X21" s="70">
        <v>160</v>
      </c>
      <c r="Y21" s="70">
        <v>160</v>
      </c>
      <c r="Z21" s="70"/>
      <c r="AA21" s="70">
        <f>Y21+Z21</f>
        <v>160</v>
      </c>
      <c r="AB21" s="70">
        <f>X21-AA21</f>
        <v>0</v>
      </c>
      <c r="AC21" s="73">
        <f>W21+AB21</f>
        <v>-8</v>
      </c>
      <c r="AD21" s="77">
        <v>160</v>
      </c>
      <c r="AE21" s="77">
        <v>160</v>
      </c>
      <c r="AF21" s="77"/>
      <c r="AG21" s="77">
        <f>AE21+AF21</f>
        <v>160</v>
      </c>
      <c r="AH21" s="77">
        <f>AD21-AG21</f>
        <v>0</v>
      </c>
      <c r="AI21" s="84">
        <f>AC21+AH21</f>
        <v>-8</v>
      </c>
      <c r="AJ21" s="80">
        <v>160</v>
      </c>
      <c r="AK21" s="80">
        <v>160</v>
      </c>
      <c r="AL21" s="80"/>
      <c r="AM21" s="80">
        <f>AK21+AL21</f>
        <v>160</v>
      </c>
      <c r="AN21" s="80">
        <f>AJ21-AM21</f>
        <v>0</v>
      </c>
      <c r="AO21" s="80">
        <f>AI21+AN21</f>
        <v>-8</v>
      </c>
      <c r="AP21" s="82">
        <v>160</v>
      </c>
      <c r="AQ21" s="82">
        <v>160</v>
      </c>
      <c r="AR21" s="82"/>
      <c r="AS21" s="82">
        <f>AQ21+AR21</f>
        <v>160</v>
      </c>
      <c r="AT21" s="82">
        <f>AP21-AS21</f>
        <v>0</v>
      </c>
      <c r="AU21" s="82">
        <f>AO21+AT21</f>
        <v>-8</v>
      </c>
      <c r="AV21" s="77">
        <v>160</v>
      </c>
      <c r="AW21" s="77">
        <v>156</v>
      </c>
      <c r="AX21" s="77"/>
      <c r="AY21" s="77">
        <f>AW21+AX21</f>
        <v>156</v>
      </c>
      <c r="AZ21" s="77">
        <f>AV21-AY21</f>
        <v>4</v>
      </c>
      <c r="BA21" s="77">
        <f>AU21+AZ21</f>
        <v>-4</v>
      </c>
      <c r="BB21" s="58">
        <v>160</v>
      </c>
      <c r="BC21" s="58"/>
      <c r="BD21" s="58"/>
      <c r="BE21" s="58">
        <v>0</v>
      </c>
      <c r="BF21" s="58">
        <v>160</v>
      </c>
      <c r="BG21" s="58">
        <v>960</v>
      </c>
      <c r="BH21" s="77">
        <v>160</v>
      </c>
      <c r="BI21" s="77"/>
      <c r="BJ21" s="77"/>
      <c r="BK21" s="77">
        <v>0</v>
      </c>
      <c r="BL21" s="77">
        <v>160</v>
      </c>
      <c r="BM21" s="77">
        <v>960</v>
      </c>
      <c r="BN21" s="80">
        <v>160</v>
      </c>
      <c r="BO21" s="80"/>
      <c r="BP21" s="80"/>
      <c r="BQ21" s="80">
        <v>0</v>
      </c>
      <c r="BR21" s="80">
        <v>160</v>
      </c>
      <c r="BS21" s="80">
        <v>960</v>
      </c>
    </row>
    <row r="22" spans="1:71">
      <c r="A22" s="4" t="s">
        <v>31</v>
      </c>
      <c r="B22" s="4" t="s">
        <v>51</v>
      </c>
      <c r="C22" s="9">
        <v>76297339</v>
      </c>
      <c r="D22" s="12">
        <v>46055</v>
      </c>
      <c r="E22" s="33">
        <v>46354</v>
      </c>
      <c r="F22" s="40">
        <f>(DAY(D22)-30-1)*-1</f>
        <v>29</v>
      </c>
      <c r="G22" s="41">
        <v>152</v>
      </c>
      <c r="H22" s="32">
        <v>128</v>
      </c>
      <c r="I22" s="32">
        <v>24</v>
      </c>
      <c r="J22" s="32">
        <f>H22+I22</f>
        <v>152</v>
      </c>
      <c r="K22" s="42">
        <f>G22-J22</f>
        <v>0</v>
      </c>
      <c r="L22" s="58">
        <v>160</v>
      </c>
      <c r="M22" s="58">
        <v>160</v>
      </c>
      <c r="N22" s="58">
        <v>8</v>
      </c>
      <c r="O22" s="58">
        <f>M22+N22</f>
        <v>168</v>
      </c>
      <c r="P22" s="58">
        <f>L22-O22</f>
        <v>-8</v>
      </c>
      <c r="Q22" s="65">
        <f>K22+P22</f>
        <v>-8</v>
      </c>
      <c r="R22" s="61">
        <v>160</v>
      </c>
      <c r="S22" s="61">
        <v>160</v>
      </c>
      <c r="T22" s="61">
        <v>8</v>
      </c>
      <c r="U22" s="61">
        <f>S22+T22</f>
        <v>168</v>
      </c>
      <c r="V22" s="61">
        <f>R22-U22</f>
        <v>-8</v>
      </c>
      <c r="W22" s="72">
        <f>Q22+V22</f>
        <v>-16</v>
      </c>
      <c r="X22" s="70">
        <v>160</v>
      </c>
      <c r="Y22" s="70">
        <v>160</v>
      </c>
      <c r="Z22" s="70"/>
      <c r="AA22" s="70">
        <f>Y22+Z22</f>
        <v>160</v>
      </c>
      <c r="AB22" s="70">
        <f>X22-AA22</f>
        <v>0</v>
      </c>
      <c r="AC22" s="73">
        <f>W22+AB22</f>
        <v>-16</v>
      </c>
      <c r="AD22" s="77">
        <v>160</v>
      </c>
      <c r="AE22" s="77">
        <v>160</v>
      </c>
      <c r="AF22" s="77"/>
      <c r="AG22" s="77">
        <f>AE22+AF22</f>
        <v>160</v>
      </c>
      <c r="AH22" s="77">
        <f>AD22-AG22</f>
        <v>0</v>
      </c>
      <c r="AI22" s="84">
        <f>AC22+AH22</f>
        <v>-16</v>
      </c>
      <c r="AJ22" s="80">
        <v>160</v>
      </c>
      <c r="AK22" s="80">
        <v>160</v>
      </c>
      <c r="AL22" s="80"/>
      <c r="AM22" s="80">
        <f>AK22+AL22</f>
        <v>160</v>
      </c>
      <c r="AN22" s="80">
        <f>AJ22-AM22</f>
        <v>0</v>
      </c>
      <c r="AO22" s="80">
        <f>AI22+AN22</f>
        <v>-16</v>
      </c>
      <c r="AP22" s="82">
        <v>160</v>
      </c>
      <c r="AQ22" s="82">
        <v>160</v>
      </c>
      <c r="AR22" s="82"/>
      <c r="AS22" s="82">
        <f>AQ22+AR22</f>
        <v>160</v>
      </c>
      <c r="AT22" s="82">
        <f>AP22-AS22</f>
        <v>0</v>
      </c>
      <c r="AU22" s="82">
        <f>AO22+AT22</f>
        <v>-16</v>
      </c>
      <c r="AV22" s="77">
        <v>160</v>
      </c>
      <c r="AW22" s="77">
        <v>160</v>
      </c>
      <c r="AX22" s="77"/>
      <c r="AY22" s="77">
        <f>AW22+AX22</f>
        <v>160</v>
      </c>
      <c r="AZ22" s="77">
        <f>AV22-AY22</f>
        <v>0</v>
      </c>
      <c r="BA22" s="77">
        <f>AU22+AZ22</f>
        <v>-16</v>
      </c>
      <c r="BB22" s="58">
        <v>160</v>
      </c>
      <c r="BC22" s="58"/>
      <c r="BD22" s="58"/>
      <c r="BE22" s="58">
        <v>0</v>
      </c>
      <c r="BF22" s="58">
        <v>160</v>
      </c>
      <c r="BG22" s="58">
        <v>960</v>
      </c>
      <c r="BH22" s="77">
        <v>160</v>
      </c>
      <c r="BI22" s="77"/>
      <c r="BJ22" s="77"/>
      <c r="BK22" s="77">
        <v>0</v>
      </c>
      <c r="BL22" s="77">
        <v>160</v>
      </c>
      <c r="BM22" s="77">
        <v>960</v>
      </c>
      <c r="BN22" s="80">
        <v>160</v>
      </c>
      <c r="BO22" s="80"/>
      <c r="BP22" s="80"/>
      <c r="BQ22" s="80">
        <v>0</v>
      </c>
      <c r="BR22" s="80">
        <v>160</v>
      </c>
      <c r="BS22" s="80">
        <v>960</v>
      </c>
    </row>
    <row r="23" spans="1:71">
      <c r="A23" s="4" t="s">
        <v>31</v>
      </c>
      <c r="B23" s="4" t="s">
        <v>52</v>
      </c>
      <c r="C23" s="9">
        <v>25279194</v>
      </c>
      <c r="D23" s="12">
        <v>46055</v>
      </c>
      <c r="E23" s="33">
        <v>46354</v>
      </c>
      <c r="F23" s="40">
        <f>(DAY(D23)-30-1)*-1</f>
        <v>29</v>
      </c>
      <c r="G23" s="41">
        <v>152</v>
      </c>
      <c r="H23" s="32">
        <v>128</v>
      </c>
      <c r="I23" s="32">
        <v>24</v>
      </c>
      <c r="J23" s="32">
        <f>H23+I23</f>
        <v>152</v>
      </c>
      <c r="K23" s="42">
        <f>G23-J23</f>
        <v>0</v>
      </c>
      <c r="L23" s="58">
        <v>160</v>
      </c>
      <c r="M23" s="58">
        <v>160</v>
      </c>
      <c r="N23" s="58">
        <v>8</v>
      </c>
      <c r="O23" s="58">
        <f>M23+N23</f>
        <v>168</v>
      </c>
      <c r="P23" s="58">
        <f>L23-O23</f>
        <v>-8</v>
      </c>
      <c r="Q23" s="65">
        <f>K23+P23</f>
        <v>-8</v>
      </c>
      <c r="R23" s="61">
        <v>160</v>
      </c>
      <c r="S23" s="61">
        <v>160</v>
      </c>
      <c r="T23" s="61">
        <v>8</v>
      </c>
      <c r="U23" s="61">
        <f>S23+T23</f>
        <v>168</v>
      </c>
      <c r="V23" s="61">
        <f>R23-U23</f>
        <v>-8</v>
      </c>
      <c r="W23" s="72">
        <f>Q23+V23</f>
        <v>-16</v>
      </c>
      <c r="X23" s="70">
        <v>160</v>
      </c>
      <c r="Y23" s="70">
        <v>160</v>
      </c>
      <c r="Z23" s="70"/>
      <c r="AA23" s="70">
        <f>Y23+Z23</f>
        <v>160</v>
      </c>
      <c r="AB23" s="70">
        <f>X23-AA23</f>
        <v>0</v>
      </c>
      <c r="AC23" s="73">
        <f>W23+AB23</f>
        <v>-16</v>
      </c>
      <c r="AD23" s="77">
        <v>160</v>
      </c>
      <c r="AE23" s="77">
        <v>160</v>
      </c>
      <c r="AF23" s="77"/>
      <c r="AG23" s="77">
        <f>AE23+AF23</f>
        <v>160</v>
      </c>
      <c r="AH23" s="77">
        <f>AD23-AG23</f>
        <v>0</v>
      </c>
      <c r="AI23" s="84">
        <f>AC23+AH23</f>
        <v>-16</v>
      </c>
      <c r="AJ23" s="80">
        <v>160</v>
      </c>
      <c r="AK23" s="80">
        <v>160</v>
      </c>
      <c r="AL23" s="80"/>
      <c r="AM23" s="80">
        <f>AK23+AL23</f>
        <v>160</v>
      </c>
      <c r="AN23" s="80">
        <f>AJ23-AM23</f>
        <v>0</v>
      </c>
      <c r="AO23" s="80">
        <f>AI23+AN23</f>
        <v>-16</v>
      </c>
      <c r="AP23" s="82">
        <v>160</v>
      </c>
      <c r="AQ23" s="82">
        <v>160</v>
      </c>
      <c r="AR23" s="82"/>
      <c r="AS23" s="82">
        <f>AQ23+AR23</f>
        <v>160</v>
      </c>
      <c r="AT23" s="82">
        <f>AP23-AS23</f>
        <v>0</v>
      </c>
      <c r="AU23" s="82">
        <f>AO23+AT23</f>
        <v>-16</v>
      </c>
      <c r="AV23" s="77">
        <v>160</v>
      </c>
      <c r="AW23" s="77">
        <v>160</v>
      </c>
      <c r="AX23" s="77"/>
      <c r="AY23" s="77">
        <f>AW23+AX23</f>
        <v>160</v>
      </c>
      <c r="AZ23" s="77">
        <f>AV23-AY23</f>
        <v>0</v>
      </c>
      <c r="BA23" s="77">
        <f>AU23+AZ23</f>
        <v>-16</v>
      </c>
      <c r="BB23" s="58">
        <v>160</v>
      </c>
      <c r="BC23" s="58"/>
      <c r="BD23" s="58"/>
      <c r="BE23" s="58">
        <v>0</v>
      </c>
      <c r="BF23" s="58">
        <v>160</v>
      </c>
      <c r="BG23" s="58">
        <v>960</v>
      </c>
      <c r="BH23" s="77">
        <v>160</v>
      </c>
      <c r="BI23" s="77"/>
      <c r="BJ23" s="77"/>
      <c r="BK23" s="77">
        <v>0</v>
      </c>
      <c r="BL23" s="77">
        <v>160</v>
      </c>
      <c r="BM23" s="77">
        <v>960</v>
      </c>
      <c r="BN23" s="80">
        <v>160</v>
      </c>
      <c r="BO23" s="80"/>
      <c r="BP23" s="80"/>
      <c r="BQ23" s="80">
        <v>0</v>
      </c>
      <c r="BR23" s="80">
        <v>160</v>
      </c>
      <c r="BS23" s="80">
        <v>960</v>
      </c>
    </row>
    <row r="24" spans="1:71">
      <c r="A24" s="4" t="s">
        <v>31</v>
      </c>
      <c r="B24" s="4" t="s">
        <v>53</v>
      </c>
      <c r="C24" s="9">
        <v>10302971</v>
      </c>
      <c r="D24" s="12">
        <v>46055</v>
      </c>
      <c r="E24" s="33">
        <v>46356</v>
      </c>
      <c r="F24" s="40">
        <f>(DAY(D24)-30-1)*-1</f>
        <v>29</v>
      </c>
      <c r="G24" s="41">
        <v>152</v>
      </c>
      <c r="H24" s="32">
        <v>128</v>
      </c>
      <c r="I24" s="32">
        <v>24</v>
      </c>
      <c r="J24" s="32">
        <f>H24+I24</f>
        <v>152</v>
      </c>
      <c r="K24" s="42">
        <f>G24-J24</f>
        <v>0</v>
      </c>
      <c r="L24" s="58">
        <v>160</v>
      </c>
      <c r="M24" s="58">
        <v>160</v>
      </c>
      <c r="N24" s="58">
        <v>8</v>
      </c>
      <c r="O24" s="58">
        <f>M24+N24</f>
        <v>168</v>
      </c>
      <c r="P24" s="58">
        <f>L24-O24</f>
        <v>-8</v>
      </c>
      <c r="Q24" s="65">
        <f>K24+P24</f>
        <v>-8</v>
      </c>
      <c r="R24" s="61">
        <v>160</v>
      </c>
      <c r="S24" s="61">
        <v>160</v>
      </c>
      <c r="T24" s="61">
        <v>8</v>
      </c>
      <c r="U24" s="61">
        <f>S24+T24</f>
        <v>168</v>
      </c>
      <c r="V24" s="61">
        <f>R24-U24</f>
        <v>-8</v>
      </c>
      <c r="W24" s="72">
        <f>Q24+V24</f>
        <v>-16</v>
      </c>
      <c r="X24" s="70">
        <v>160</v>
      </c>
      <c r="Y24" s="70">
        <v>162</v>
      </c>
      <c r="Z24" s="70"/>
      <c r="AA24" s="70">
        <f>Y24+Z24</f>
        <v>162</v>
      </c>
      <c r="AB24" s="70">
        <f>X24-AA24</f>
        <v>-2</v>
      </c>
      <c r="AC24" s="73">
        <f>W24+AB24</f>
        <v>-18</v>
      </c>
      <c r="AD24" s="77">
        <v>160</v>
      </c>
      <c r="AE24" s="77">
        <v>160</v>
      </c>
      <c r="AF24" s="77"/>
      <c r="AG24" s="77">
        <f>AE24+AF24</f>
        <v>160</v>
      </c>
      <c r="AH24" s="77">
        <f>AD24-AG24</f>
        <v>0</v>
      </c>
      <c r="AI24" s="84">
        <f>AC24+AH24</f>
        <v>-18</v>
      </c>
      <c r="AJ24" s="80">
        <v>160</v>
      </c>
      <c r="AK24" s="80">
        <v>160</v>
      </c>
      <c r="AL24" s="80"/>
      <c r="AM24" s="80">
        <f>AK24+AL24</f>
        <v>160</v>
      </c>
      <c r="AN24" s="80">
        <f>AJ24-AM24</f>
        <v>0</v>
      </c>
      <c r="AO24" s="80">
        <f>AI24+AN24</f>
        <v>-18</v>
      </c>
      <c r="AP24" s="82">
        <v>160</v>
      </c>
      <c r="AQ24" s="82">
        <v>160</v>
      </c>
      <c r="AR24" s="82"/>
      <c r="AS24" s="82">
        <f>AQ24+AR24</f>
        <v>160</v>
      </c>
      <c r="AT24" s="82">
        <f>AP24-AS24</f>
        <v>0</v>
      </c>
      <c r="AU24" s="82">
        <f>AO24+AT24</f>
        <v>-18</v>
      </c>
      <c r="AV24" s="77">
        <v>160</v>
      </c>
      <c r="AW24" s="77">
        <v>160</v>
      </c>
      <c r="AX24" s="77"/>
      <c r="AY24" s="77">
        <f>AW24+AX24</f>
        <v>160</v>
      </c>
      <c r="AZ24" s="77">
        <f>AV24-AY24</f>
        <v>0</v>
      </c>
      <c r="BA24" s="77">
        <f>AU24+AZ24</f>
        <v>-18</v>
      </c>
      <c r="BB24" s="58">
        <v>160</v>
      </c>
      <c r="BC24" s="58"/>
      <c r="BD24" s="58"/>
      <c r="BE24" s="58">
        <v>0</v>
      </c>
      <c r="BF24" s="58">
        <v>160</v>
      </c>
      <c r="BG24" s="58">
        <v>960</v>
      </c>
      <c r="BH24" s="77">
        <v>160</v>
      </c>
      <c r="BI24" s="77"/>
      <c r="BJ24" s="77"/>
      <c r="BK24" s="77">
        <v>0</v>
      </c>
      <c r="BL24" s="77">
        <v>160</v>
      </c>
      <c r="BM24" s="77">
        <v>960</v>
      </c>
      <c r="BN24" s="80">
        <v>160</v>
      </c>
      <c r="BO24" s="80"/>
      <c r="BP24" s="80"/>
      <c r="BQ24" s="80">
        <v>0</v>
      </c>
      <c r="BR24" s="80">
        <v>160</v>
      </c>
      <c r="BS24" s="80">
        <v>960</v>
      </c>
    </row>
    <row r="25" spans="1:71">
      <c r="A25" s="4" t="s">
        <v>31</v>
      </c>
      <c r="B25" s="4" t="s">
        <v>54</v>
      </c>
      <c r="C25" s="9">
        <v>1061765445</v>
      </c>
      <c r="D25" s="12">
        <v>46055</v>
      </c>
      <c r="E25" s="33">
        <v>46356</v>
      </c>
      <c r="F25" s="40">
        <f>(DAY(D25)-30-1)*-1</f>
        <v>29</v>
      </c>
      <c r="G25" s="41">
        <v>152</v>
      </c>
      <c r="H25" s="32">
        <v>128</v>
      </c>
      <c r="I25" s="32">
        <v>24</v>
      </c>
      <c r="J25" s="32">
        <f>H25+I25</f>
        <v>152</v>
      </c>
      <c r="K25" s="42">
        <f>G25-J25</f>
        <v>0</v>
      </c>
      <c r="L25" s="58">
        <v>160</v>
      </c>
      <c r="M25" s="58">
        <v>160</v>
      </c>
      <c r="N25" s="58">
        <v>8</v>
      </c>
      <c r="O25" s="58">
        <f>M25+N25</f>
        <v>168</v>
      </c>
      <c r="P25" s="58">
        <f>L25-O25</f>
        <v>-8</v>
      </c>
      <c r="Q25" s="65">
        <f>K25+P25</f>
        <v>-8</v>
      </c>
      <c r="R25" s="61">
        <v>160</v>
      </c>
      <c r="S25" s="61">
        <v>160</v>
      </c>
      <c r="T25" s="61">
        <v>8</v>
      </c>
      <c r="U25" s="61">
        <f>S25+T25</f>
        <v>168</v>
      </c>
      <c r="V25" s="61">
        <f>R25-U25</f>
        <v>-8</v>
      </c>
      <c r="W25" s="72">
        <f>Q25+V25</f>
        <v>-16</v>
      </c>
      <c r="X25" s="70">
        <v>160</v>
      </c>
      <c r="Y25" s="70">
        <v>160</v>
      </c>
      <c r="Z25" s="70"/>
      <c r="AA25" s="70">
        <f>Y25+Z25</f>
        <v>160</v>
      </c>
      <c r="AB25" s="70">
        <f>X25-AA25</f>
        <v>0</v>
      </c>
      <c r="AC25" s="73">
        <f>W25+AB25</f>
        <v>-16</v>
      </c>
      <c r="AD25" s="77">
        <v>160</v>
      </c>
      <c r="AE25" s="77">
        <v>160</v>
      </c>
      <c r="AF25" s="77"/>
      <c r="AG25" s="77">
        <f>AE25+AF25</f>
        <v>160</v>
      </c>
      <c r="AH25" s="77">
        <f>AD25-AG25</f>
        <v>0</v>
      </c>
      <c r="AI25" s="84">
        <f>AC25+AH25</f>
        <v>-16</v>
      </c>
      <c r="AJ25" s="80">
        <v>160</v>
      </c>
      <c r="AK25" s="80">
        <v>160</v>
      </c>
      <c r="AL25" s="80"/>
      <c r="AM25" s="80">
        <v>168</v>
      </c>
      <c r="AN25" s="80">
        <f>AJ25-AM25</f>
        <v>-8</v>
      </c>
      <c r="AO25" s="80">
        <f>AI25+AN25</f>
        <v>-24</v>
      </c>
      <c r="AP25" s="82">
        <v>160</v>
      </c>
      <c r="AQ25" s="82">
        <v>168</v>
      </c>
      <c r="AR25" s="82"/>
      <c r="AS25" s="82">
        <f>AQ25+AR25</f>
        <v>168</v>
      </c>
      <c r="AT25" s="82">
        <f>AP25-AS25</f>
        <v>-8</v>
      </c>
      <c r="AU25" s="82">
        <f>AO25+AT25</f>
        <v>-32</v>
      </c>
      <c r="AV25" s="77">
        <v>160</v>
      </c>
      <c r="AW25" s="77">
        <v>160</v>
      </c>
      <c r="AX25" s="77"/>
      <c r="AY25" s="77">
        <f>AW25+AX25</f>
        <v>160</v>
      </c>
      <c r="AZ25" s="77">
        <f>AV25-AY25</f>
        <v>0</v>
      </c>
      <c r="BA25" s="77">
        <f>AU25+AZ25</f>
        <v>-32</v>
      </c>
      <c r="BB25" s="58">
        <v>160</v>
      </c>
      <c r="BC25" s="58"/>
      <c r="BD25" s="58"/>
      <c r="BE25" s="58">
        <v>0</v>
      </c>
      <c r="BF25" s="58">
        <v>160</v>
      </c>
      <c r="BG25" s="58">
        <v>960</v>
      </c>
      <c r="BH25" s="77">
        <v>160</v>
      </c>
      <c r="BI25" s="77"/>
      <c r="BJ25" s="77"/>
      <c r="BK25" s="77">
        <v>0</v>
      </c>
      <c r="BL25" s="77">
        <v>160</v>
      </c>
      <c r="BM25" s="77">
        <v>960</v>
      </c>
      <c r="BN25" s="80">
        <v>160</v>
      </c>
      <c r="BO25" s="80"/>
      <c r="BP25" s="80"/>
      <c r="BQ25" s="80">
        <v>0</v>
      </c>
      <c r="BR25" s="80">
        <v>160</v>
      </c>
      <c r="BS25" s="80">
        <v>960</v>
      </c>
    </row>
    <row r="26" spans="1:71">
      <c r="A26" s="4" t="s">
        <v>31</v>
      </c>
      <c r="B26" s="120" t="s">
        <v>55</v>
      </c>
      <c r="C26" s="9">
        <v>1061708289</v>
      </c>
      <c r="D26" s="12">
        <v>46055</v>
      </c>
      <c r="E26" s="33">
        <v>46368</v>
      </c>
      <c r="F26" s="40">
        <f>(DAY(D26)-30-1)*-1</f>
        <v>29</v>
      </c>
      <c r="G26" s="41">
        <v>152</v>
      </c>
      <c r="H26" s="32">
        <v>128</v>
      </c>
      <c r="I26" s="32">
        <v>24</v>
      </c>
      <c r="J26" s="32">
        <f>H26+I26</f>
        <v>152</v>
      </c>
      <c r="K26" s="42">
        <f>G26-J26</f>
        <v>0</v>
      </c>
      <c r="L26" s="58">
        <v>160</v>
      </c>
      <c r="M26" s="63">
        <v>136</v>
      </c>
      <c r="N26" s="58">
        <v>35</v>
      </c>
      <c r="O26" s="58">
        <f>M26+N26</f>
        <v>171</v>
      </c>
      <c r="P26" s="58">
        <f>L26-O26</f>
        <v>-11</v>
      </c>
      <c r="Q26" s="65">
        <f>K26+P26</f>
        <v>-11</v>
      </c>
      <c r="R26" s="61">
        <v>160</v>
      </c>
      <c r="S26" s="61">
        <v>120</v>
      </c>
      <c r="T26" s="61">
        <v>35</v>
      </c>
      <c r="U26" s="61">
        <f>S26+T26</f>
        <v>155</v>
      </c>
      <c r="V26" s="61">
        <f>R26-U26</f>
        <v>5</v>
      </c>
      <c r="W26" s="72">
        <f>Q26+V26</f>
        <v>-6</v>
      </c>
      <c r="X26" s="70">
        <v>160</v>
      </c>
      <c r="Y26" s="70">
        <v>128</v>
      </c>
      <c r="Z26" s="70">
        <v>32</v>
      </c>
      <c r="AA26" s="70">
        <f>Y26+Z26</f>
        <v>160</v>
      </c>
      <c r="AB26" s="70">
        <f>X26-AA26</f>
        <v>0</v>
      </c>
      <c r="AC26" s="73">
        <f>W26+AB26</f>
        <v>-6</v>
      </c>
      <c r="AD26" s="77">
        <v>160</v>
      </c>
      <c r="AE26" s="77">
        <v>125</v>
      </c>
      <c r="AF26" s="77">
        <v>35</v>
      </c>
      <c r="AG26" s="77">
        <f>AE26+AF26</f>
        <v>160</v>
      </c>
      <c r="AH26" s="77">
        <f>AD26-AG26</f>
        <v>0</v>
      </c>
      <c r="AI26" s="84">
        <f>AC26+AH26</f>
        <v>-6</v>
      </c>
      <c r="AJ26" s="80">
        <v>160</v>
      </c>
      <c r="AK26" s="80">
        <v>125</v>
      </c>
      <c r="AL26" s="80">
        <v>35</v>
      </c>
      <c r="AM26" s="80">
        <f>AK26+AL26</f>
        <v>160</v>
      </c>
      <c r="AN26" s="80">
        <f>AJ26-AM26</f>
        <v>0</v>
      </c>
      <c r="AO26" s="80">
        <f>AI26+AN26</f>
        <v>-6</v>
      </c>
      <c r="AP26" s="82">
        <v>160</v>
      </c>
      <c r="AQ26" s="82">
        <v>125</v>
      </c>
      <c r="AR26" s="82">
        <v>35</v>
      </c>
      <c r="AS26" s="82">
        <f>AQ26+AR26</f>
        <v>160</v>
      </c>
      <c r="AT26" s="82">
        <f>AP26-AS26</f>
        <v>0</v>
      </c>
      <c r="AU26" s="82">
        <f>AO26+AT26</f>
        <v>-6</v>
      </c>
      <c r="AV26" s="77">
        <v>160</v>
      </c>
      <c r="AW26" s="77">
        <v>125</v>
      </c>
      <c r="AX26" s="77">
        <v>35</v>
      </c>
      <c r="AY26" s="77">
        <f>AW26+AX26</f>
        <v>160</v>
      </c>
      <c r="AZ26" s="77">
        <f>AV26-AY26</f>
        <v>0</v>
      </c>
      <c r="BA26" s="77">
        <f>AU26+AZ26</f>
        <v>-6</v>
      </c>
      <c r="BB26" s="58">
        <v>160</v>
      </c>
      <c r="BC26" s="58"/>
      <c r="BD26" s="58"/>
      <c r="BE26" s="58">
        <v>0</v>
      </c>
      <c r="BF26" s="58">
        <v>160</v>
      </c>
      <c r="BG26" s="58">
        <v>960</v>
      </c>
      <c r="BH26" s="77">
        <v>160</v>
      </c>
      <c r="BI26" s="77"/>
      <c r="BJ26" s="77"/>
      <c r="BK26" s="77">
        <v>0</v>
      </c>
      <c r="BL26" s="77">
        <v>160</v>
      </c>
      <c r="BM26" s="77">
        <v>960</v>
      </c>
      <c r="BN26" s="80">
        <v>160</v>
      </c>
      <c r="BO26" s="80"/>
      <c r="BP26" s="80"/>
      <c r="BQ26" s="80">
        <v>0</v>
      </c>
      <c r="BR26" s="80">
        <v>160</v>
      </c>
      <c r="BS26" s="80">
        <v>960</v>
      </c>
    </row>
    <row r="27" spans="1:71">
      <c r="A27" s="4" t="s">
        <v>31</v>
      </c>
      <c r="B27" s="4" t="s">
        <v>56</v>
      </c>
      <c r="C27" s="9">
        <v>34536941</v>
      </c>
      <c r="D27" s="12">
        <v>46055</v>
      </c>
      <c r="E27" s="33">
        <v>46368</v>
      </c>
      <c r="F27" s="40">
        <f>(DAY(D27)-30-1)*-1</f>
        <v>29</v>
      </c>
      <c r="G27" s="41">
        <v>152</v>
      </c>
      <c r="H27" s="32">
        <v>128</v>
      </c>
      <c r="I27" s="32">
        <v>24</v>
      </c>
      <c r="J27" s="32">
        <f>H27+I27</f>
        <v>152</v>
      </c>
      <c r="K27" s="42">
        <f>G27-J27</f>
        <v>0</v>
      </c>
      <c r="L27" s="58">
        <v>160</v>
      </c>
      <c r="M27" s="58">
        <v>160</v>
      </c>
      <c r="N27" s="58">
        <v>8</v>
      </c>
      <c r="O27" s="58">
        <f>M27+N27</f>
        <v>168</v>
      </c>
      <c r="P27" s="58">
        <f>L27-O27</f>
        <v>-8</v>
      </c>
      <c r="Q27" s="65">
        <f>K27+P27</f>
        <v>-8</v>
      </c>
      <c r="R27" s="61">
        <v>160</v>
      </c>
      <c r="S27" s="61">
        <v>160</v>
      </c>
      <c r="T27" s="61">
        <v>8</v>
      </c>
      <c r="U27" s="61">
        <f>S27+T27</f>
        <v>168</v>
      </c>
      <c r="V27" s="61">
        <f>R27-U27</f>
        <v>-8</v>
      </c>
      <c r="W27" s="72">
        <f>Q27+V27</f>
        <v>-16</v>
      </c>
      <c r="X27" s="70">
        <v>160</v>
      </c>
      <c r="Y27" s="70">
        <v>156</v>
      </c>
      <c r="Z27" s="70"/>
      <c r="AA27" s="70">
        <f>Y27+Z27</f>
        <v>156</v>
      </c>
      <c r="AB27" s="70">
        <f>X27-AA27</f>
        <v>4</v>
      </c>
      <c r="AC27" s="73">
        <f>W27+AB27</f>
        <v>-12</v>
      </c>
      <c r="AD27" s="77">
        <v>160</v>
      </c>
      <c r="AE27" s="77">
        <v>158</v>
      </c>
      <c r="AF27" s="77"/>
      <c r="AG27" s="77">
        <f>AE27+AF27</f>
        <v>158</v>
      </c>
      <c r="AH27" s="77">
        <f>AD27-AG27</f>
        <v>2</v>
      </c>
      <c r="AI27" s="84">
        <f>AC27+AH27</f>
        <v>-10</v>
      </c>
      <c r="AJ27" s="80">
        <v>160</v>
      </c>
      <c r="AK27" s="80">
        <v>172</v>
      </c>
      <c r="AL27" s="80"/>
      <c r="AM27" s="80">
        <v>160</v>
      </c>
      <c r="AN27" s="80">
        <f>AJ27-AM27</f>
        <v>0</v>
      </c>
      <c r="AO27" s="80">
        <f>AI27+AN27</f>
        <v>-10</v>
      </c>
      <c r="AP27" s="82">
        <v>160</v>
      </c>
      <c r="AQ27" s="82">
        <v>160</v>
      </c>
      <c r="AR27" s="82"/>
      <c r="AS27" s="82">
        <f>AQ27+AR27</f>
        <v>160</v>
      </c>
      <c r="AT27" s="82">
        <f>AP27-AS27</f>
        <v>0</v>
      </c>
      <c r="AU27" s="82">
        <f>AO27+AT27</f>
        <v>-10</v>
      </c>
      <c r="AV27" s="77">
        <v>160</v>
      </c>
      <c r="AW27" s="77">
        <v>160</v>
      </c>
      <c r="AX27" s="77"/>
      <c r="AY27" s="77">
        <f>AW27+AX27</f>
        <v>160</v>
      </c>
      <c r="AZ27" s="77">
        <f>AV27-AY27</f>
        <v>0</v>
      </c>
      <c r="BA27" s="77">
        <f>AU27+AZ27</f>
        <v>-10</v>
      </c>
      <c r="BB27" s="58">
        <v>160</v>
      </c>
      <c r="BC27" s="58"/>
      <c r="BD27" s="58"/>
      <c r="BE27" s="58">
        <v>0</v>
      </c>
      <c r="BF27" s="58">
        <v>160</v>
      </c>
      <c r="BG27" s="58">
        <v>960</v>
      </c>
      <c r="BH27" s="77">
        <v>160</v>
      </c>
      <c r="BI27" s="77"/>
      <c r="BJ27" s="77"/>
      <c r="BK27" s="77">
        <v>0</v>
      </c>
      <c r="BL27" s="77">
        <v>160</v>
      </c>
      <c r="BM27" s="77">
        <v>960</v>
      </c>
      <c r="BN27" s="80">
        <v>160</v>
      </c>
      <c r="BO27" s="80"/>
      <c r="BP27" s="80"/>
      <c r="BQ27" s="80">
        <v>0</v>
      </c>
      <c r="BR27" s="80">
        <v>160</v>
      </c>
      <c r="BS27" s="80">
        <v>960</v>
      </c>
    </row>
    <row r="28" spans="1:71">
      <c r="A28" s="4" t="s">
        <v>31</v>
      </c>
      <c r="B28" s="4" t="s">
        <v>57</v>
      </c>
      <c r="C28" s="9">
        <v>1061763683</v>
      </c>
      <c r="D28" s="12">
        <v>46055</v>
      </c>
      <c r="E28" s="33">
        <v>46342</v>
      </c>
      <c r="F28" s="40">
        <f>(DAY(D28)-30-1)*-1</f>
        <v>29</v>
      </c>
      <c r="G28" s="41">
        <v>152</v>
      </c>
      <c r="H28" s="32">
        <v>128</v>
      </c>
      <c r="I28" s="32">
        <v>24</v>
      </c>
      <c r="J28" s="32">
        <f>H28+I28</f>
        <v>152</v>
      </c>
      <c r="K28" s="42">
        <f>G28-J28</f>
        <v>0</v>
      </c>
      <c r="L28" s="58">
        <v>160</v>
      </c>
      <c r="M28" s="58">
        <v>152</v>
      </c>
      <c r="N28" s="58">
        <v>8</v>
      </c>
      <c r="O28" s="58">
        <f>M28+N28</f>
        <v>160</v>
      </c>
      <c r="P28" s="58">
        <f>L28-O28</f>
        <v>0</v>
      </c>
      <c r="Q28" s="65">
        <f>K28+P28</f>
        <v>0</v>
      </c>
      <c r="R28" s="61">
        <v>160</v>
      </c>
      <c r="S28" s="61">
        <v>160</v>
      </c>
      <c r="T28" s="61">
        <v>8</v>
      </c>
      <c r="U28" s="61">
        <f>S28+T28</f>
        <v>168</v>
      </c>
      <c r="V28" s="61">
        <f>R28-U28</f>
        <v>-8</v>
      </c>
      <c r="W28" s="72">
        <f>Q28+V28</f>
        <v>-8</v>
      </c>
      <c r="X28" s="70">
        <v>160</v>
      </c>
      <c r="Y28" s="70">
        <v>164</v>
      </c>
      <c r="Z28" s="70"/>
      <c r="AA28" s="70">
        <f>Y28+Z28</f>
        <v>164</v>
      </c>
      <c r="AB28" s="70">
        <f>X28-AA28</f>
        <v>-4</v>
      </c>
      <c r="AC28" s="73">
        <f>W28+AB28</f>
        <v>-12</v>
      </c>
      <c r="AD28" s="77">
        <v>160</v>
      </c>
      <c r="AE28" s="77">
        <v>160</v>
      </c>
      <c r="AF28" s="77"/>
      <c r="AG28" s="77">
        <f>AE28+AF28</f>
        <v>160</v>
      </c>
      <c r="AH28" s="77">
        <f>AD28-AG28</f>
        <v>0</v>
      </c>
      <c r="AI28" s="84">
        <f>AC28+AH28</f>
        <v>-12</v>
      </c>
      <c r="AJ28" s="80">
        <v>160</v>
      </c>
      <c r="AK28" s="80">
        <v>164</v>
      </c>
      <c r="AL28" s="80"/>
      <c r="AM28" s="80">
        <v>160</v>
      </c>
      <c r="AN28" s="80">
        <f>AJ28-AM28</f>
        <v>0</v>
      </c>
      <c r="AO28" s="80">
        <f>AI28+AN28</f>
        <v>-12</v>
      </c>
      <c r="AP28" s="82">
        <v>160</v>
      </c>
      <c r="AQ28" s="82">
        <v>160</v>
      </c>
      <c r="AR28" s="82"/>
      <c r="AS28" s="82">
        <f>AQ28+AR28</f>
        <v>160</v>
      </c>
      <c r="AT28" s="82">
        <f>AP28-AS28</f>
        <v>0</v>
      </c>
      <c r="AU28" s="82">
        <f>AO28+AT28</f>
        <v>-12</v>
      </c>
      <c r="AV28" s="77">
        <v>160</v>
      </c>
      <c r="AW28" s="77">
        <v>166</v>
      </c>
      <c r="AX28" s="77"/>
      <c r="AY28" s="77">
        <f>AW28+AX28</f>
        <v>166</v>
      </c>
      <c r="AZ28" s="77">
        <f>AV28-AY28</f>
        <v>-6</v>
      </c>
      <c r="BA28" s="77">
        <f>AU28+AZ28</f>
        <v>-18</v>
      </c>
      <c r="BB28" s="58">
        <v>160</v>
      </c>
      <c r="BC28" s="58"/>
      <c r="BD28" s="58"/>
      <c r="BE28" s="58">
        <v>0</v>
      </c>
      <c r="BF28" s="58">
        <v>160</v>
      </c>
      <c r="BG28" s="58">
        <v>960</v>
      </c>
      <c r="BH28" s="77">
        <v>160</v>
      </c>
      <c r="BI28" s="77"/>
      <c r="BJ28" s="77"/>
      <c r="BK28" s="77">
        <v>0</v>
      </c>
      <c r="BL28" s="77">
        <v>160</v>
      </c>
      <c r="BM28" s="77">
        <v>960</v>
      </c>
      <c r="BN28" s="80">
        <v>160</v>
      </c>
      <c r="BO28" s="80"/>
      <c r="BP28" s="80"/>
      <c r="BQ28" s="80">
        <v>0</v>
      </c>
      <c r="BR28" s="80">
        <v>160</v>
      </c>
      <c r="BS28" s="80">
        <v>960</v>
      </c>
    </row>
    <row r="29" spans="1:71">
      <c r="A29" s="4" t="s">
        <v>31</v>
      </c>
      <c r="B29" s="4" t="s">
        <v>58</v>
      </c>
      <c r="C29" s="127">
        <v>27282403</v>
      </c>
      <c r="D29" s="12">
        <v>46055</v>
      </c>
      <c r="E29" s="33">
        <v>46342</v>
      </c>
      <c r="F29" s="40">
        <f>(DAY(D29)-30-1)*-1</f>
        <v>29</v>
      </c>
      <c r="G29" s="41">
        <v>152</v>
      </c>
      <c r="H29" s="32">
        <v>128</v>
      </c>
      <c r="I29" s="32">
        <v>24</v>
      </c>
      <c r="J29" s="32">
        <f>H29+I29</f>
        <v>152</v>
      </c>
      <c r="K29" s="42">
        <f>G29-J29</f>
        <v>0</v>
      </c>
      <c r="L29" s="58">
        <v>160</v>
      </c>
      <c r="M29" s="58">
        <v>160</v>
      </c>
      <c r="N29" s="58">
        <v>8</v>
      </c>
      <c r="O29" s="58">
        <f>M29+N29</f>
        <v>168</v>
      </c>
      <c r="P29" s="58">
        <f>L29-O29</f>
        <v>-8</v>
      </c>
      <c r="Q29" s="65">
        <f>K29+P29</f>
        <v>-8</v>
      </c>
      <c r="R29" s="61">
        <v>160</v>
      </c>
      <c r="S29" s="61">
        <v>164</v>
      </c>
      <c r="T29" s="61">
        <v>8</v>
      </c>
      <c r="U29" s="61">
        <f>S29+T29</f>
        <v>172</v>
      </c>
      <c r="V29" s="61">
        <f>R29-U29</f>
        <v>-12</v>
      </c>
      <c r="W29" s="72">
        <f>Q29+V29</f>
        <v>-20</v>
      </c>
      <c r="X29" s="70">
        <v>160</v>
      </c>
      <c r="Y29" s="70">
        <v>156</v>
      </c>
      <c r="Z29" s="70"/>
      <c r="AA29" s="70">
        <f>Y29+Z29</f>
        <v>156</v>
      </c>
      <c r="AB29" s="70">
        <f>X29-AA29</f>
        <v>4</v>
      </c>
      <c r="AC29" s="73">
        <f>W29+AB29</f>
        <v>-16</v>
      </c>
      <c r="AD29" s="77">
        <v>160</v>
      </c>
      <c r="AE29" s="77">
        <v>162</v>
      </c>
      <c r="AF29" s="77"/>
      <c r="AG29" s="77">
        <f>AE29+AF29</f>
        <v>162</v>
      </c>
      <c r="AH29" s="77">
        <f>AD29-AG29</f>
        <v>-2</v>
      </c>
      <c r="AI29" s="84">
        <f>AC29+AH29</f>
        <v>-18</v>
      </c>
      <c r="AJ29" s="80">
        <v>160</v>
      </c>
      <c r="AK29" s="80">
        <v>157</v>
      </c>
      <c r="AL29" s="80"/>
      <c r="AM29" s="80">
        <v>160</v>
      </c>
      <c r="AN29" s="80">
        <f>AJ29-AM29</f>
        <v>0</v>
      </c>
      <c r="AO29" s="80">
        <f>AI29+AN29</f>
        <v>-18</v>
      </c>
      <c r="AP29" s="82">
        <v>160</v>
      </c>
      <c r="AQ29" s="82">
        <v>160</v>
      </c>
      <c r="AR29" s="82"/>
      <c r="AS29" s="82">
        <f>AQ29+AR29</f>
        <v>160</v>
      </c>
      <c r="AT29" s="82">
        <f>AP29-AS29</f>
        <v>0</v>
      </c>
      <c r="AU29" s="82">
        <f>AO29+AT29</f>
        <v>-18</v>
      </c>
      <c r="AV29" s="77">
        <v>160</v>
      </c>
      <c r="AW29" s="77">
        <v>168</v>
      </c>
      <c r="AX29" s="77"/>
      <c r="AY29" s="77">
        <f>AW29+AX29</f>
        <v>168</v>
      </c>
      <c r="AZ29" s="77">
        <f>AV29-AY29</f>
        <v>-8</v>
      </c>
      <c r="BA29" s="77">
        <f>AU29+AZ29</f>
        <v>-26</v>
      </c>
      <c r="BB29" s="58">
        <v>160</v>
      </c>
      <c r="BC29" s="58"/>
      <c r="BD29" s="58"/>
      <c r="BE29" s="58">
        <v>0</v>
      </c>
      <c r="BF29" s="58">
        <v>160</v>
      </c>
      <c r="BG29" s="58">
        <v>960</v>
      </c>
      <c r="BH29" s="77">
        <v>160</v>
      </c>
      <c r="BI29" s="77"/>
      <c r="BJ29" s="77"/>
      <c r="BK29" s="77">
        <v>0</v>
      </c>
      <c r="BL29" s="77">
        <v>160</v>
      </c>
      <c r="BM29" s="77">
        <v>960</v>
      </c>
      <c r="BN29" s="80">
        <v>160</v>
      </c>
      <c r="BO29" s="80"/>
      <c r="BP29" s="80"/>
      <c r="BQ29" s="80">
        <v>0</v>
      </c>
      <c r="BR29" s="80">
        <v>160</v>
      </c>
      <c r="BS29" s="80">
        <v>960</v>
      </c>
    </row>
    <row r="30" spans="1:71">
      <c r="A30" s="4" t="s">
        <v>31</v>
      </c>
      <c r="B30" s="4" t="s">
        <v>59</v>
      </c>
      <c r="C30" s="9">
        <v>1061723789</v>
      </c>
      <c r="D30" s="12">
        <v>46055</v>
      </c>
      <c r="E30" s="33">
        <v>46342</v>
      </c>
      <c r="F30" s="40">
        <f>(DAY(D30)-30-1)*-1</f>
        <v>29</v>
      </c>
      <c r="G30" s="41">
        <v>152</v>
      </c>
      <c r="H30" s="32">
        <v>128</v>
      </c>
      <c r="I30" s="32">
        <v>24</v>
      </c>
      <c r="J30" s="32">
        <f>H30+I30</f>
        <v>152</v>
      </c>
      <c r="K30" s="42">
        <f>G30-J30</f>
        <v>0</v>
      </c>
      <c r="L30" s="58">
        <v>160</v>
      </c>
      <c r="M30" s="58">
        <v>160</v>
      </c>
      <c r="N30" s="58">
        <v>8</v>
      </c>
      <c r="O30" s="58">
        <f>M30+N30</f>
        <v>168</v>
      </c>
      <c r="P30" s="58">
        <f>L30-O30</f>
        <v>-8</v>
      </c>
      <c r="Q30" s="65">
        <f>K30+P30</f>
        <v>-8</v>
      </c>
      <c r="R30" s="61">
        <v>160</v>
      </c>
      <c r="S30" s="61">
        <v>160</v>
      </c>
      <c r="T30" s="61">
        <v>8</v>
      </c>
      <c r="U30" s="61">
        <f>S30+T30</f>
        <v>168</v>
      </c>
      <c r="V30" s="61">
        <f>R30-U30</f>
        <v>-8</v>
      </c>
      <c r="W30" s="72">
        <f>Q30+V30</f>
        <v>-16</v>
      </c>
      <c r="X30" s="70">
        <v>160</v>
      </c>
      <c r="Y30" s="70">
        <v>160</v>
      </c>
      <c r="Z30" s="70"/>
      <c r="AA30" s="70">
        <f>Y30+Z30</f>
        <v>160</v>
      </c>
      <c r="AB30" s="70">
        <f>X30-AA30</f>
        <v>0</v>
      </c>
      <c r="AC30" s="73">
        <f>W30+AB30</f>
        <v>-16</v>
      </c>
      <c r="AD30" s="77">
        <v>160</v>
      </c>
      <c r="AE30" s="77">
        <v>160</v>
      </c>
      <c r="AF30" s="77"/>
      <c r="AG30" s="77">
        <f>AE30+AF30</f>
        <v>160</v>
      </c>
      <c r="AH30" s="77">
        <f>AD30-AG30</f>
        <v>0</v>
      </c>
      <c r="AI30" s="84">
        <f>AC30+AH30</f>
        <v>-16</v>
      </c>
      <c r="AJ30" s="80">
        <v>160</v>
      </c>
      <c r="AK30" s="80">
        <v>160</v>
      </c>
      <c r="AL30" s="80"/>
      <c r="AM30" s="80">
        <f>AK30+AL30</f>
        <v>160</v>
      </c>
      <c r="AN30" s="80">
        <f>AJ30-AM30</f>
        <v>0</v>
      </c>
      <c r="AO30" s="80">
        <f>AI30+AN30</f>
        <v>-16</v>
      </c>
      <c r="AP30" s="82">
        <v>160</v>
      </c>
      <c r="AQ30" s="82">
        <v>160</v>
      </c>
      <c r="AR30" s="82"/>
      <c r="AS30" s="82">
        <f>AQ30+AR30</f>
        <v>160</v>
      </c>
      <c r="AT30" s="82">
        <f>AP30-AS30</f>
        <v>0</v>
      </c>
      <c r="AU30" s="82">
        <f>AO30+AT30</f>
        <v>-16</v>
      </c>
      <c r="AV30" s="77">
        <v>160</v>
      </c>
      <c r="AW30" s="77">
        <v>160</v>
      </c>
      <c r="AX30" s="77"/>
      <c r="AY30" s="77">
        <f>AW30+AX30</f>
        <v>160</v>
      </c>
      <c r="AZ30" s="77">
        <f>AV30-AY30</f>
        <v>0</v>
      </c>
      <c r="BA30" s="77">
        <f>AU30+AZ30</f>
        <v>-16</v>
      </c>
      <c r="BB30" s="58">
        <v>160</v>
      </c>
      <c r="BC30" s="58"/>
      <c r="BD30" s="58"/>
      <c r="BE30" s="58">
        <v>0</v>
      </c>
      <c r="BF30" s="58">
        <v>160</v>
      </c>
      <c r="BG30" s="58">
        <v>960</v>
      </c>
      <c r="BH30" s="77">
        <v>160</v>
      </c>
      <c r="BI30" s="77"/>
      <c r="BJ30" s="77"/>
      <c r="BK30" s="77">
        <v>0</v>
      </c>
      <c r="BL30" s="77">
        <v>160</v>
      </c>
      <c r="BM30" s="77">
        <v>960</v>
      </c>
      <c r="BN30" s="80">
        <v>160</v>
      </c>
      <c r="BO30" s="80"/>
      <c r="BP30" s="80"/>
      <c r="BQ30" s="80">
        <v>0</v>
      </c>
      <c r="BR30" s="80">
        <v>160</v>
      </c>
      <c r="BS30" s="80">
        <v>960</v>
      </c>
    </row>
    <row r="31" spans="1:71">
      <c r="A31" s="4" t="s">
        <v>31</v>
      </c>
      <c r="B31" s="4" t="s">
        <v>60</v>
      </c>
      <c r="C31" s="9">
        <v>25289790</v>
      </c>
      <c r="D31" s="12">
        <v>46055</v>
      </c>
      <c r="E31" s="33">
        <v>46368</v>
      </c>
      <c r="F31" s="40">
        <f>(DAY(D31)-30-1)*-1</f>
        <v>29</v>
      </c>
      <c r="G31" s="41">
        <v>152</v>
      </c>
      <c r="H31" s="32">
        <v>128</v>
      </c>
      <c r="I31" s="32">
        <v>24</v>
      </c>
      <c r="J31" s="32">
        <f>H31+I31</f>
        <v>152</v>
      </c>
      <c r="K31" s="42">
        <f>G31-J31</f>
        <v>0</v>
      </c>
      <c r="L31" s="58">
        <v>160</v>
      </c>
      <c r="M31" s="63">
        <v>160</v>
      </c>
      <c r="N31" s="58">
        <v>8</v>
      </c>
      <c r="O31" s="58">
        <f>M31+N31</f>
        <v>168</v>
      </c>
      <c r="P31" s="58">
        <f>L31-O31</f>
        <v>-8</v>
      </c>
      <c r="Q31" s="65">
        <f>K31+P31</f>
        <v>-8</v>
      </c>
      <c r="R31" s="61">
        <v>160</v>
      </c>
      <c r="S31" s="61">
        <v>160</v>
      </c>
      <c r="T31" s="61">
        <v>8</v>
      </c>
      <c r="U31" s="61">
        <f>S31+T31</f>
        <v>168</v>
      </c>
      <c r="V31" s="61">
        <f>R31-U31</f>
        <v>-8</v>
      </c>
      <c r="W31" s="72">
        <f>Q31+V31</f>
        <v>-16</v>
      </c>
      <c r="X31" s="70">
        <v>160</v>
      </c>
      <c r="Y31" s="70">
        <v>160</v>
      </c>
      <c r="Z31" s="70"/>
      <c r="AA31" s="70">
        <f>Y31+Z31</f>
        <v>160</v>
      </c>
      <c r="AB31" s="70">
        <f>X31-AA31</f>
        <v>0</v>
      </c>
      <c r="AC31" s="73">
        <f>W31+AB31</f>
        <v>-16</v>
      </c>
      <c r="AD31" s="77">
        <v>160</v>
      </c>
      <c r="AE31" s="77">
        <v>160</v>
      </c>
      <c r="AF31" s="77"/>
      <c r="AG31" s="77">
        <f>AE31+AF31</f>
        <v>160</v>
      </c>
      <c r="AH31" s="77">
        <f>AD31-AG31</f>
        <v>0</v>
      </c>
      <c r="AI31" s="84">
        <f>AC31+AH31</f>
        <v>-16</v>
      </c>
      <c r="AJ31" s="80">
        <v>160</v>
      </c>
      <c r="AK31" s="80">
        <v>160</v>
      </c>
      <c r="AL31" s="80"/>
      <c r="AM31" s="80">
        <f>AK31+AL31</f>
        <v>160</v>
      </c>
      <c r="AN31" s="80">
        <f>AJ31-AM31</f>
        <v>0</v>
      </c>
      <c r="AO31" s="80">
        <f>AI31+AN31</f>
        <v>-16</v>
      </c>
      <c r="AP31" s="82">
        <v>160</v>
      </c>
      <c r="AQ31" s="82">
        <v>160</v>
      </c>
      <c r="AR31" s="82"/>
      <c r="AS31" s="82">
        <f>AQ31+AR31</f>
        <v>160</v>
      </c>
      <c r="AT31" s="82">
        <f>AP31-AS31</f>
        <v>0</v>
      </c>
      <c r="AU31" s="82">
        <f>AO31+AT31</f>
        <v>-16</v>
      </c>
      <c r="AV31" s="77">
        <v>160</v>
      </c>
      <c r="AW31" s="77">
        <v>160</v>
      </c>
      <c r="AX31" s="77"/>
      <c r="AY31" s="77">
        <f>AW31+AX31</f>
        <v>160</v>
      </c>
      <c r="AZ31" s="77">
        <f>AV31-AY31</f>
        <v>0</v>
      </c>
      <c r="BA31" s="77">
        <f>AU31+AZ31</f>
        <v>-16</v>
      </c>
      <c r="BB31" s="58">
        <v>160</v>
      </c>
      <c r="BC31" s="58"/>
      <c r="BD31" s="58"/>
      <c r="BE31" s="58">
        <v>0</v>
      </c>
      <c r="BF31" s="58">
        <v>160</v>
      </c>
      <c r="BG31" s="58">
        <v>960</v>
      </c>
      <c r="BH31" s="77">
        <v>160</v>
      </c>
      <c r="BI31" s="77"/>
      <c r="BJ31" s="77"/>
      <c r="BK31" s="77">
        <v>0</v>
      </c>
      <c r="BL31" s="77">
        <v>160</v>
      </c>
      <c r="BM31" s="77">
        <v>960</v>
      </c>
      <c r="BN31" s="80">
        <v>160</v>
      </c>
      <c r="BO31" s="80"/>
      <c r="BP31" s="80"/>
      <c r="BQ31" s="80">
        <v>0</v>
      </c>
      <c r="BR31" s="80">
        <v>160</v>
      </c>
      <c r="BS31" s="80">
        <v>960</v>
      </c>
    </row>
    <row r="32" spans="1:71">
      <c r="A32" s="4" t="s">
        <v>31</v>
      </c>
      <c r="B32" s="120" t="s">
        <v>61</v>
      </c>
      <c r="C32" s="9">
        <v>10293223</v>
      </c>
      <c r="D32" s="12">
        <v>46055</v>
      </c>
      <c r="E32" s="33">
        <v>46368</v>
      </c>
      <c r="F32" s="40">
        <f>(DAY(D32)-30-1)*-1</f>
        <v>29</v>
      </c>
      <c r="G32" s="41">
        <v>152</v>
      </c>
      <c r="H32" s="32">
        <v>128</v>
      </c>
      <c r="I32" s="32">
        <v>24</v>
      </c>
      <c r="J32" s="32">
        <f>H32+I32</f>
        <v>152</v>
      </c>
      <c r="K32" s="42">
        <f>G32-J32</f>
        <v>0</v>
      </c>
      <c r="L32" s="58">
        <v>160</v>
      </c>
      <c r="M32" s="58">
        <v>160</v>
      </c>
      <c r="N32" s="58">
        <v>35</v>
      </c>
      <c r="O32" s="58">
        <f>M32+N32</f>
        <v>195</v>
      </c>
      <c r="P32" s="58">
        <f>L32-O32</f>
        <v>-35</v>
      </c>
      <c r="Q32" s="65">
        <f>K32+P32</f>
        <v>-35</v>
      </c>
      <c r="R32" s="61">
        <v>160</v>
      </c>
      <c r="S32" s="61">
        <v>128</v>
      </c>
      <c r="T32" s="61">
        <v>35</v>
      </c>
      <c r="U32" s="61">
        <f>S32+T32</f>
        <v>163</v>
      </c>
      <c r="V32" s="61">
        <f>R32-U32</f>
        <v>-3</v>
      </c>
      <c r="W32" s="72">
        <f>Q32+V32</f>
        <v>-38</v>
      </c>
      <c r="X32" s="70">
        <v>160</v>
      </c>
      <c r="Y32" s="70">
        <v>128</v>
      </c>
      <c r="Z32" s="70">
        <v>32</v>
      </c>
      <c r="AA32" s="70">
        <f>Y32+Z32</f>
        <v>160</v>
      </c>
      <c r="AB32" s="70">
        <f>X32-AA32</f>
        <v>0</v>
      </c>
      <c r="AC32" s="73">
        <f>W32+AB32</f>
        <v>-38</v>
      </c>
      <c r="AD32" s="77">
        <v>160</v>
      </c>
      <c r="AE32" s="77">
        <v>128</v>
      </c>
      <c r="AF32" s="77">
        <v>35</v>
      </c>
      <c r="AG32" s="77">
        <f>AE32+AF32</f>
        <v>163</v>
      </c>
      <c r="AH32" s="77">
        <f>AD32-AG32</f>
        <v>-3</v>
      </c>
      <c r="AI32" s="84">
        <f>AC32+AH32</f>
        <v>-41</v>
      </c>
      <c r="AJ32" s="80">
        <v>160</v>
      </c>
      <c r="AK32" s="80">
        <v>125</v>
      </c>
      <c r="AL32" s="80">
        <v>35</v>
      </c>
      <c r="AM32" s="80">
        <f>AK32+AL32</f>
        <v>160</v>
      </c>
      <c r="AN32" s="80">
        <f>AJ32-AM32</f>
        <v>0</v>
      </c>
      <c r="AO32" s="80">
        <f>AI32+AN32</f>
        <v>-41</v>
      </c>
      <c r="AP32" s="82">
        <v>160</v>
      </c>
      <c r="AQ32" s="82">
        <v>125</v>
      </c>
      <c r="AR32" s="82">
        <v>35</v>
      </c>
      <c r="AS32" s="82">
        <f>AQ32+AR32</f>
        <v>160</v>
      </c>
      <c r="AT32" s="82">
        <f>AP32-AS32</f>
        <v>0</v>
      </c>
      <c r="AU32" s="82">
        <f>AO32+AT32</f>
        <v>-41</v>
      </c>
      <c r="AV32" s="77">
        <v>160</v>
      </c>
      <c r="AW32" s="77">
        <v>125</v>
      </c>
      <c r="AX32" s="77">
        <v>35</v>
      </c>
      <c r="AY32" s="77">
        <f>AW32+AX32</f>
        <v>160</v>
      </c>
      <c r="AZ32" s="77">
        <f>AV32-AY32</f>
        <v>0</v>
      </c>
      <c r="BA32" s="77">
        <f>AU32+AZ32</f>
        <v>-41</v>
      </c>
      <c r="BB32" s="58">
        <v>160</v>
      </c>
      <c r="BC32" s="58"/>
      <c r="BD32" s="58"/>
      <c r="BE32" s="58">
        <v>0</v>
      </c>
      <c r="BF32" s="58">
        <v>160</v>
      </c>
      <c r="BG32" s="58">
        <v>960</v>
      </c>
      <c r="BH32" s="77">
        <v>160</v>
      </c>
      <c r="BI32" s="77"/>
      <c r="BJ32" s="77"/>
      <c r="BK32" s="77">
        <v>0</v>
      </c>
      <c r="BL32" s="77">
        <v>160</v>
      </c>
      <c r="BM32" s="77">
        <v>960</v>
      </c>
      <c r="BN32" s="80">
        <v>160</v>
      </c>
      <c r="BO32" s="80"/>
      <c r="BP32" s="80"/>
      <c r="BQ32" s="80">
        <v>0</v>
      </c>
      <c r="BR32" s="80">
        <v>160</v>
      </c>
      <c r="BS32" s="80">
        <v>960</v>
      </c>
    </row>
    <row r="33" spans="1:71">
      <c r="A33" s="4" t="s">
        <v>31</v>
      </c>
      <c r="B33" s="4" t="s">
        <v>62</v>
      </c>
      <c r="C33" s="10">
        <v>1061740766</v>
      </c>
      <c r="D33" s="12">
        <v>46055</v>
      </c>
      <c r="E33" s="33">
        <v>46356</v>
      </c>
      <c r="F33" s="40">
        <f>(DAY(D33)-30-1)*-1</f>
        <v>29</v>
      </c>
      <c r="G33" s="41">
        <v>152</v>
      </c>
      <c r="H33" s="32">
        <v>128</v>
      </c>
      <c r="I33" s="32">
        <v>24</v>
      </c>
      <c r="J33" s="32">
        <f>H33+I33</f>
        <v>152</v>
      </c>
      <c r="K33" s="42">
        <f>G33-J33</f>
        <v>0</v>
      </c>
      <c r="L33" s="58">
        <v>160</v>
      </c>
      <c r="M33" s="63">
        <v>160</v>
      </c>
      <c r="N33" s="58">
        <v>8</v>
      </c>
      <c r="O33" s="58">
        <f>M33+N33</f>
        <v>168</v>
      </c>
      <c r="P33" s="58">
        <f>L33-O33</f>
        <v>-8</v>
      </c>
      <c r="Q33" s="65">
        <f>K33+P33</f>
        <v>-8</v>
      </c>
      <c r="R33" s="61">
        <v>160</v>
      </c>
      <c r="S33" s="61">
        <v>152</v>
      </c>
      <c r="T33" s="61">
        <v>8</v>
      </c>
      <c r="U33" s="61">
        <f>S33+T33</f>
        <v>160</v>
      </c>
      <c r="V33" s="61">
        <f>R33-U33</f>
        <v>0</v>
      </c>
      <c r="W33" s="72">
        <f>Q33+V33</f>
        <v>-8</v>
      </c>
      <c r="X33" s="70">
        <v>160</v>
      </c>
      <c r="Y33" s="70">
        <v>160</v>
      </c>
      <c r="Z33" s="70"/>
      <c r="AA33" s="70">
        <f>Y33+Z33</f>
        <v>160</v>
      </c>
      <c r="AB33" s="70">
        <f>X33-AA33</f>
        <v>0</v>
      </c>
      <c r="AC33" s="73">
        <f>W33+AB33</f>
        <v>-8</v>
      </c>
      <c r="AD33" s="77">
        <v>160</v>
      </c>
      <c r="AE33" s="77">
        <v>160</v>
      </c>
      <c r="AF33" s="77"/>
      <c r="AG33" s="77">
        <f>AE33+AF33</f>
        <v>160</v>
      </c>
      <c r="AH33" s="77">
        <f>AD33-AG33</f>
        <v>0</v>
      </c>
      <c r="AI33" s="84">
        <f>AC33+AH33</f>
        <v>-8</v>
      </c>
      <c r="AJ33" s="80">
        <v>160</v>
      </c>
      <c r="AK33" s="80">
        <v>160</v>
      </c>
      <c r="AL33" s="80"/>
      <c r="AM33" s="80">
        <v>160</v>
      </c>
      <c r="AN33" s="80">
        <f>AJ33-AM33</f>
        <v>0</v>
      </c>
      <c r="AO33" s="80">
        <f>AI33+AN33</f>
        <v>-8</v>
      </c>
      <c r="AP33" s="82">
        <v>160</v>
      </c>
      <c r="AQ33" s="82">
        <v>160</v>
      </c>
      <c r="AR33" s="82"/>
      <c r="AS33" s="82">
        <f>AQ33+AR33</f>
        <v>160</v>
      </c>
      <c r="AT33" s="82">
        <f>AP33-AS33</f>
        <v>0</v>
      </c>
      <c r="AU33" s="82">
        <f>AO33+AT33</f>
        <v>-8</v>
      </c>
      <c r="AV33" s="77">
        <v>160</v>
      </c>
      <c r="AW33" s="77">
        <v>160</v>
      </c>
      <c r="AX33" s="77"/>
      <c r="AY33" s="77">
        <f>AW33+AX33</f>
        <v>160</v>
      </c>
      <c r="AZ33" s="77">
        <f>AV33-AY33</f>
        <v>0</v>
      </c>
      <c r="BA33" s="77">
        <f>AU33+AZ33</f>
        <v>-8</v>
      </c>
      <c r="BB33" s="58">
        <v>160</v>
      </c>
      <c r="BC33" s="58"/>
      <c r="BD33" s="58"/>
      <c r="BE33" s="58">
        <v>0</v>
      </c>
      <c r="BF33" s="58">
        <v>160</v>
      </c>
      <c r="BG33" s="58">
        <v>960</v>
      </c>
      <c r="BH33" s="77">
        <v>160</v>
      </c>
      <c r="BI33" s="77"/>
      <c r="BJ33" s="77"/>
      <c r="BK33" s="77">
        <v>0</v>
      </c>
      <c r="BL33" s="77">
        <v>160</v>
      </c>
      <c r="BM33" s="77">
        <v>960</v>
      </c>
      <c r="BN33" s="80">
        <v>160</v>
      </c>
      <c r="BO33" s="80"/>
      <c r="BP33" s="80"/>
      <c r="BQ33" s="80">
        <v>0</v>
      </c>
      <c r="BR33" s="80">
        <v>160</v>
      </c>
      <c r="BS33" s="80">
        <v>960</v>
      </c>
    </row>
    <row r="34" spans="1:71">
      <c r="A34" s="14" t="s">
        <v>63</v>
      </c>
      <c r="B34" s="14" t="s">
        <v>64</v>
      </c>
      <c r="C34" s="15">
        <v>1061688847</v>
      </c>
      <c r="D34" s="16">
        <v>46055</v>
      </c>
      <c r="E34" s="34">
        <v>46368</v>
      </c>
      <c r="F34" s="40">
        <f>(DAY(D34)-30-1)*-1</f>
        <v>29</v>
      </c>
      <c r="G34" s="41">
        <v>152</v>
      </c>
      <c r="H34" s="32">
        <v>152</v>
      </c>
      <c r="I34" s="32">
        <v>0</v>
      </c>
      <c r="J34" s="32">
        <f>H34+I34</f>
        <v>152</v>
      </c>
      <c r="K34" s="42">
        <f>G34-J34</f>
        <v>0</v>
      </c>
      <c r="L34" s="58">
        <v>160</v>
      </c>
      <c r="M34" s="58">
        <v>162</v>
      </c>
      <c r="N34" s="58">
        <v>8</v>
      </c>
      <c r="O34" s="58">
        <f>M34+N34</f>
        <v>170</v>
      </c>
      <c r="P34" s="58">
        <f>L34-O34</f>
        <v>-10</v>
      </c>
      <c r="Q34" s="65">
        <f>K34+P34</f>
        <v>-10</v>
      </c>
      <c r="R34" s="61">
        <v>160</v>
      </c>
      <c r="S34" s="61">
        <v>160</v>
      </c>
      <c r="T34" s="61">
        <v>8</v>
      </c>
      <c r="U34" s="61">
        <f>S34+T34</f>
        <v>168</v>
      </c>
      <c r="V34" s="61">
        <f>R34-U34</f>
        <v>-8</v>
      </c>
      <c r="W34" s="72">
        <f>Q34+V34</f>
        <v>-18</v>
      </c>
      <c r="X34" s="70">
        <v>160</v>
      </c>
      <c r="Y34" s="70">
        <v>160</v>
      </c>
      <c r="Z34" s="70"/>
      <c r="AA34" s="70">
        <f>Y34+Z34</f>
        <v>160</v>
      </c>
      <c r="AB34" s="70">
        <f>X34-AA34</f>
        <v>0</v>
      </c>
      <c r="AC34" s="73">
        <f>W34+AB34</f>
        <v>-18</v>
      </c>
      <c r="AD34" s="77">
        <v>160</v>
      </c>
      <c r="AE34" s="77">
        <v>152</v>
      </c>
      <c r="AF34" s="77"/>
      <c r="AG34" s="77">
        <f>AE34+AF34</f>
        <v>152</v>
      </c>
      <c r="AH34" s="77">
        <f>AD34-AG34</f>
        <v>8</v>
      </c>
      <c r="AI34" s="84">
        <f>AC34+AH34</f>
        <v>-10</v>
      </c>
      <c r="AJ34" s="80">
        <v>160</v>
      </c>
      <c r="AK34" s="80">
        <v>160</v>
      </c>
      <c r="AL34" s="80"/>
      <c r="AM34" s="80">
        <f>AK34+AL34</f>
        <v>160</v>
      </c>
      <c r="AN34" s="80">
        <f>AJ34-AM34</f>
        <v>0</v>
      </c>
      <c r="AO34" s="80">
        <f>AI34+AN34</f>
        <v>-10</v>
      </c>
      <c r="AP34" s="82">
        <v>160</v>
      </c>
      <c r="AQ34" s="82">
        <v>160</v>
      </c>
      <c r="AR34" s="82"/>
      <c r="AS34" s="82">
        <f>AQ34+AR34</f>
        <v>160</v>
      </c>
      <c r="AT34" s="82">
        <f>AP34-AS34</f>
        <v>0</v>
      </c>
      <c r="AU34" s="82">
        <f>AO34+AT34</f>
        <v>-10</v>
      </c>
      <c r="AV34" s="77">
        <v>160</v>
      </c>
      <c r="AW34" s="77">
        <v>160</v>
      </c>
      <c r="AX34" s="77"/>
      <c r="AY34" s="77">
        <f>AW34+AX34</f>
        <v>160</v>
      </c>
      <c r="AZ34" s="77">
        <f>AV34-AY34</f>
        <v>0</v>
      </c>
      <c r="BA34" s="77">
        <f>AU34+AZ34</f>
        <v>-10</v>
      </c>
      <c r="BB34" s="58">
        <v>160</v>
      </c>
      <c r="BC34" s="58"/>
      <c r="BD34" s="58"/>
      <c r="BE34" s="58">
        <v>0</v>
      </c>
      <c r="BF34" s="58">
        <v>160</v>
      </c>
      <c r="BG34" s="58">
        <v>960</v>
      </c>
      <c r="BH34" s="77">
        <v>160</v>
      </c>
      <c r="BI34" s="77"/>
      <c r="BJ34" s="77"/>
      <c r="BK34" s="77">
        <v>0</v>
      </c>
      <c r="BL34" s="77">
        <v>160</v>
      </c>
      <c r="BM34" s="77">
        <v>960</v>
      </c>
      <c r="BN34" s="80">
        <v>160</v>
      </c>
      <c r="BO34" s="80"/>
      <c r="BP34" s="80"/>
      <c r="BQ34" s="80">
        <v>0</v>
      </c>
      <c r="BR34" s="80">
        <v>160</v>
      </c>
      <c r="BS34" s="80">
        <v>960</v>
      </c>
    </row>
    <row r="35" spans="1:71">
      <c r="A35" s="17" t="s">
        <v>63</v>
      </c>
      <c r="B35" s="17" t="s">
        <v>65</v>
      </c>
      <c r="C35" s="18">
        <v>34328534</v>
      </c>
      <c r="D35" s="19">
        <v>46055</v>
      </c>
      <c r="E35" s="35">
        <v>46368</v>
      </c>
      <c r="F35" s="40">
        <f>(DAY(D35)-30-1)*-1</f>
        <v>29</v>
      </c>
      <c r="G35" s="41">
        <v>152</v>
      </c>
      <c r="H35" s="32">
        <v>125</v>
      </c>
      <c r="I35" s="32">
        <v>24</v>
      </c>
      <c r="J35" s="32">
        <f>H35+I35</f>
        <v>149</v>
      </c>
      <c r="K35" s="43">
        <f>G35-J35</f>
        <v>3</v>
      </c>
      <c r="L35" s="58">
        <v>160</v>
      </c>
      <c r="M35" s="58">
        <v>160</v>
      </c>
      <c r="N35" s="58">
        <v>8</v>
      </c>
      <c r="O35" s="58">
        <f>M35+N35</f>
        <v>168</v>
      </c>
      <c r="P35" s="58">
        <f>L35-O35</f>
        <v>-8</v>
      </c>
      <c r="Q35" s="65">
        <f>K35+P35</f>
        <v>-5</v>
      </c>
      <c r="R35" s="61">
        <v>160</v>
      </c>
      <c r="S35" s="61">
        <v>160</v>
      </c>
      <c r="T35" s="61">
        <v>8</v>
      </c>
      <c r="U35" s="61">
        <f>S35+T35</f>
        <v>168</v>
      </c>
      <c r="V35" s="61">
        <f>R35-U35</f>
        <v>-8</v>
      </c>
      <c r="W35" s="72">
        <f>Q35+V35</f>
        <v>-13</v>
      </c>
      <c r="X35" s="70">
        <v>160</v>
      </c>
      <c r="Y35" s="70">
        <v>156</v>
      </c>
      <c r="Z35" s="70"/>
      <c r="AA35" s="70">
        <f>Y35+Z35</f>
        <v>156</v>
      </c>
      <c r="AB35" s="70">
        <f>X35-AA35</f>
        <v>4</v>
      </c>
      <c r="AC35" s="73">
        <f>W35+AB35</f>
        <v>-9</v>
      </c>
      <c r="AD35" s="77">
        <v>160</v>
      </c>
      <c r="AE35" s="77">
        <v>164</v>
      </c>
      <c r="AF35" s="77"/>
      <c r="AG35" s="77">
        <f>AE35+AF35</f>
        <v>164</v>
      </c>
      <c r="AH35" s="77">
        <f>AD35-AG35</f>
        <v>-4</v>
      </c>
      <c r="AI35" s="84">
        <f>AC35+AH35</f>
        <v>-13</v>
      </c>
      <c r="AJ35" s="80">
        <v>160</v>
      </c>
      <c r="AK35" s="80">
        <v>160</v>
      </c>
      <c r="AL35" s="80"/>
      <c r="AM35" s="80">
        <f>AK35+AL35</f>
        <v>160</v>
      </c>
      <c r="AN35" s="80">
        <f>AJ35-AM35</f>
        <v>0</v>
      </c>
      <c r="AO35" s="80">
        <f>AI35+AN35</f>
        <v>-13</v>
      </c>
      <c r="AP35" s="82">
        <v>160</v>
      </c>
      <c r="AQ35" s="82">
        <v>160</v>
      </c>
      <c r="AR35" s="82"/>
      <c r="AS35" s="82">
        <f>AQ35+AR35</f>
        <v>160</v>
      </c>
      <c r="AT35" s="82">
        <f>AP35-AS35</f>
        <v>0</v>
      </c>
      <c r="AU35" s="82">
        <f>AO35+AT35</f>
        <v>-13</v>
      </c>
      <c r="AV35" s="77">
        <v>160</v>
      </c>
      <c r="AW35" s="77">
        <v>160</v>
      </c>
      <c r="AX35" s="77"/>
      <c r="AY35" s="77">
        <f>AW35+AX35</f>
        <v>160</v>
      </c>
      <c r="AZ35" s="77">
        <f>AV35-AY35</f>
        <v>0</v>
      </c>
      <c r="BA35" s="77">
        <f>AU35+AZ35</f>
        <v>-13</v>
      </c>
      <c r="BB35" s="58">
        <v>160</v>
      </c>
      <c r="BC35" s="58"/>
      <c r="BD35" s="58"/>
      <c r="BE35" s="58">
        <v>0</v>
      </c>
      <c r="BF35" s="58">
        <v>160</v>
      </c>
      <c r="BG35" s="58">
        <v>960</v>
      </c>
      <c r="BH35" s="77">
        <v>160</v>
      </c>
      <c r="BI35" s="77"/>
      <c r="BJ35" s="77"/>
      <c r="BK35" s="77">
        <v>0</v>
      </c>
      <c r="BL35" s="77">
        <v>160</v>
      </c>
      <c r="BM35" s="77">
        <v>960</v>
      </c>
      <c r="BN35" s="80">
        <v>160</v>
      </c>
      <c r="BO35" s="80"/>
      <c r="BP35" s="80"/>
      <c r="BQ35" s="80">
        <v>0</v>
      </c>
      <c r="BR35" s="80">
        <v>160</v>
      </c>
      <c r="BS35" s="80">
        <v>960</v>
      </c>
    </row>
    <row r="36" spans="1:71">
      <c r="A36" s="17" t="s">
        <v>63</v>
      </c>
      <c r="B36" s="120" t="s">
        <v>66</v>
      </c>
      <c r="C36" s="18">
        <v>1061717189</v>
      </c>
      <c r="D36" s="19">
        <v>46055</v>
      </c>
      <c r="E36" s="35">
        <v>46368</v>
      </c>
      <c r="F36" s="40">
        <f>(DAY(D36)-30-1)*-1</f>
        <v>29</v>
      </c>
      <c r="G36" s="41">
        <v>152</v>
      </c>
      <c r="H36" s="32">
        <v>128</v>
      </c>
      <c r="I36" s="32">
        <v>24</v>
      </c>
      <c r="J36" s="32">
        <f>H36+I36</f>
        <v>152</v>
      </c>
      <c r="K36" s="42">
        <f>G36-J36</f>
        <v>0</v>
      </c>
      <c r="L36" s="58">
        <v>160</v>
      </c>
      <c r="M36" s="63">
        <v>184</v>
      </c>
      <c r="N36" s="58">
        <v>8</v>
      </c>
      <c r="O36" s="58">
        <f>M36+N36</f>
        <v>192</v>
      </c>
      <c r="P36" s="58">
        <f>L36-O36</f>
        <v>-32</v>
      </c>
      <c r="Q36" s="65">
        <f>K36+P36</f>
        <v>-32</v>
      </c>
      <c r="R36" s="61">
        <v>160</v>
      </c>
      <c r="S36" s="61">
        <v>136</v>
      </c>
      <c r="T36" s="61">
        <v>16</v>
      </c>
      <c r="U36" s="61">
        <f>S36+T36</f>
        <v>152</v>
      </c>
      <c r="V36" s="61">
        <f>R36-U36</f>
        <v>8</v>
      </c>
      <c r="W36" s="72">
        <f>Q36+V36</f>
        <v>-24</v>
      </c>
      <c r="X36" s="70">
        <v>160</v>
      </c>
      <c r="Y36" s="70">
        <v>144</v>
      </c>
      <c r="Z36" s="70">
        <v>16</v>
      </c>
      <c r="AA36" s="70">
        <f>Y36+Z36</f>
        <v>160</v>
      </c>
      <c r="AB36" s="70">
        <f>X36-AA36</f>
        <v>0</v>
      </c>
      <c r="AC36" s="73">
        <f>W36+AB36</f>
        <v>-24</v>
      </c>
      <c r="AD36" s="77">
        <v>160</v>
      </c>
      <c r="AE36" s="77">
        <v>160</v>
      </c>
      <c r="AF36" s="77"/>
      <c r="AG36" s="77">
        <f>AE36+AF36</f>
        <v>160</v>
      </c>
      <c r="AH36" s="77">
        <f>AD36-AG36</f>
        <v>0</v>
      </c>
      <c r="AI36" s="84">
        <f>AC36+AH36</f>
        <v>-24</v>
      </c>
      <c r="AJ36" s="80">
        <v>160</v>
      </c>
      <c r="AK36" s="80">
        <v>119</v>
      </c>
      <c r="AL36" s="80">
        <v>40</v>
      </c>
      <c r="AM36" s="80">
        <v>137</v>
      </c>
      <c r="AN36" s="80">
        <f>AJ36-AM36</f>
        <v>23</v>
      </c>
      <c r="AO36" s="80">
        <f>AI36+AN36</f>
        <v>-1</v>
      </c>
      <c r="AP36" s="82">
        <v>160</v>
      </c>
      <c r="AQ36" s="82">
        <v>137</v>
      </c>
      <c r="AR36" s="82">
        <v>40</v>
      </c>
      <c r="AS36" s="82">
        <f>AQ36+AR36</f>
        <v>177</v>
      </c>
      <c r="AT36" s="82">
        <f>AP36-AS36</f>
        <v>-17</v>
      </c>
      <c r="AU36" s="82">
        <f>AO36+AT36</f>
        <v>-18</v>
      </c>
      <c r="AV36" s="77">
        <v>160</v>
      </c>
      <c r="AW36" s="77">
        <v>160</v>
      </c>
      <c r="AX36" s="77"/>
      <c r="AY36" s="77">
        <f>AW36+AX36</f>
        <v>160</v>
      </c>
      <c r="AZ36" s="77">
        <f>AV36-AY36</f>
        <v>0</v>
      </c>
      <c r="BA36" s="77">
        <f>AU36+AZ36</f>
        <v>-18</v>
      </c>
      <c r="BB36" s="58">
        <v>160</v>
      </c>
      <c r="BC36" s="58"/>
      <c r="BD36" s="58"/>
      <c r="BE36" s="58">
        <v>0</v>
      </c>
      <c r="BF36" s="58">
        <v>160</v>
      </c>
      <c r="BG36" s="58">
        <v>960</v>
      </c>
      <c r="BH36" s="77">
        <v>160</v>
      </c>
      <c r="BI36" s="77"/>
      <c r="BJ36" s="77"/>
      <c r="BK36" s="77">
        <v>0</v>
      </c>
      <c r="BL36" s="77">
        <v>160</v>
      </c>
      <c r="BM36" s="77">
        <v>960</v>
      </c>
      <c r="BN36" s="80">
        <v>160</v>
      </c>
      <c r="BO36" s="80"/>
      <c r="BP36" s="80"/>
      <c r="BQ36" s="80">
        <v>0</v>
      </c>
      <c r="BR36" s="80">
        <v>160</v>
      </c>
      <c r="BS36" s="80">
        <v>960</v>
      </c>
    </row>
    <row r="37" spans="1:71">
      <c r="A37" s="17" t="s">
        <v>63</v>
      </c>
      <c r="B37" s="17" t="s">
        <v>67</v>
      </c>
      <c r="C37" s="18">
        <v>1061693032</v>
      </c>
      <c r="D37" s="19">
        <v>46055</v>
      </c>
      <c r="E37" s="35">
        <v>46368</v>
      </c>
      <c r="F37" s="40">
        <f>(DAY(D37)-30-1)*-1</f>
        <v>29</v>
      </c>
      <c r="G37" s="41">
        <v>152</v>
      </c>
      <c r="H37" s="32">
        <v>154</v>
      </c>
      <c r="I37" s="32">
        <v>0</v>
      </c>
      <c r="J37" s="32">
        <f>H37+I37</f>
        <v>154</v>
      </c>
      <c r="K37" s="42">
        <f>G37-J37</f>
        <v>-2</v>
      </c>
      <c r="L37" s="58">
        <v>160</v>
      </c>
      <c r="M37" s="58">
        <v>162</v>
      </c>
      <c r="N37" s="58">
        <v>8</v>
      </c>
      <c r="O37" s="58">
        <f>M37+N37</f>
        <v>170</v>
      </c>
      <c r="P37" s="58">
        <f>L37-O37</f>
        <v>-10</v>
      </c>
      <c r="Q37" s="65">
        <f>K37+P37</f>
        <v>-12</v>
      </c>
      <c r="R37" s="61">
        <v>160</v>
      </c>
      <c r="S37" s="61">
        <v>162</v>
      </c>
      <c r="T37" s="61">
        <v>8</v>
      </c>
      <c r="U37" s="61">
        <f>S37+T37</f>
        <v>170</v>
      </c>
      <c r="V37" s="61">
        <f>R37-U37</f>
        <v>-10</v>
      </c>
      <c r="W37" s="72">
        <f>Q37+V37</f>
        <v>-22</v>
      </c>
      <c r="X37" s="70">
        <v>160</v>
      </c>
      <c r="Y37" s="70">
        <v>162</v>
      </c>
      <c r="Z37" s="70"/>
      <c r="AA37" s="70">
        <f>Y37+Z37</f>
        <v>162</v>
      </c>
      <c r="AB37" s="70">
        <f>X37-AA37</f>
        <v>-2</v>
      </c>
      <c r="AC37" s="73">
        <f>W37+AB37</f>
        <v>-24</v>
      </c>
      <c r="AD37" s="77">
        <v>160</v>
      </c>
      <c r="AE37" s="77">
        <v>163</v>
      </c>
      <c r="AF37" s="77"/>
      <c r="AG37" s="77">
        <f>AE37+AF37</f>
        <v>163</v>
      </c>
      <c r="AH37" s="77">
        <f>AD37-AG37</f>
        <v>-3</v>
      </c>
      <c r="AI37" s="84">
        <f>AC37+AH37</f>
        <v>-27</v>
      </c>
      <c r="AJ37" s="80">
        <v>160</v>
      </c>
      <c r="AK37" s="80">
        <v>161</v>
      </c>
      <c r="AL37" s="80"/>
      <c r="AM37" s="80">
        <v>160</v>
      </c>
      <c r="AN37" s="80">
        <f>AJ37-AM37</f>
        <v>0</v>
      </c>
      <c r="AO37" s="80">
        <f>AI37+AN37</f>
        <v>-27</v>
      </c>
      <c r="AP37" s="82">
        <v>160</v>
      </c>
      <c r="AQ37" s="82">
        <v>160</v>
      </c>
      <c r="AR37" s="82"/>
      <c r="AS37" s="82">
        <f>AQ37+AR37</f>
        <v>160</v>
      </c>
      <c r="AT37" s="82">
        <f>AP37-AS37</f>
        <v>0</v>
      </c>
      <c r="AU37" s="82">
        <f>AO37+AT37</f>
        <v>-27</v>
      </c>
      <c r="AV37" s="77">
        <v>160</v>
      </c>
      <c r="AW37" s="77">
        <v>160</v>
      </c>
      <c r="AX37" s="77"/>
      <c r="AY37" s="77">
        <f>AW37+AX37</f>
        <v>160</v>
      </c>
      <c r="AZ37" s="77">
        <f>AV37-AY37</f>
        <v>0</v>
      </c>
      <c r="BA37" s="77">
        <f>AU37+AZ37</f>
        <v>-27</v>
      </c>
      <c r="BB37" s="58">
        <v>160</v>
      </c>
      <c r="BC37" s="58"/>
      <c r="BD37" s="58"/>
      <c r="BE37" s="58">
        <v>0</v>
      </c>
      <c r="BF37" s="58">
        <v>160</v>
      </c>
      <c r="BG37" s="58">
        <v>960</v>
      </c>
      <c r="BH37" s="77">
        <v>160</v>
      </c>
      <c r="BI37" s="77"/>
      <c r="BJ37" s="77"/>
      <c r="BK37" s="77">
        <v>0</v>
      </c>
      <c r="BL37" s="77">
        <v>160</v>
      </c>
      <c r="BM37" s="77">
        <v>960</v>
      </c>
      <c r="BN37" s="80">
        <v>160</v>
      </c>
      <c r="BO37" s="80"/>
      <c r="BP37" s="80"/>
      <c r="BQ37" s="80">
        <v>0</v>
      </c>
      <c r="BR37" s="80">
        <v>160</v>
      </c>
      <c r="BS37" s="80">
        <v>960</v>
      </c>
    </row>
    <row r="38" spans="1:71">
      <c r="A38" s="17" t="s">
        <v>63</v>
      </c>
      <c r="B38" s="17" t="s">
        <v>68</v>
      </c>
      <c r="C38" s="18">
        <v>1061707701</v>
      </c>
      <c r="D38" s="19">
        <v>46055</v>
      </c>
      <c r="E38" s="35">
        <v>46368</v>
      </c>
      <c r="F38" s="40">
        <f>(DAY(D38)-30-1)*-1</f>
        <v>29</v>
      </c>
      <c r="G38" s="41">
        <v>152</v>
      </c>
      <c r="H38" s="32">
        <v>136</v>
      </c>
      <c r="I38" s="32">
        <v>16</v>
      </c>
      <c r="J38" s="32">
        <f>H38+I38</f>
        <v>152</v>
      </c>
      <c r="K38" s="42">
        <f>G38-J38</f>
        <v>0</v>
      </c>
      <c r="L38" s="58">
        <v>160</v>
      </c>
      <c r="M38" s="64">
        <v>160</v>
      </c>
      <c r="N38" s="58">
        <v>8</v>
      </c>
      <c r="O38" s="58">
        <f>M38+N38</f>
        <v>168</v>
      </c>
      <c r="P38" s="58">
        <f>L38-O38</f>
        <v>-8</v>
      </c>
      <c r="Q38" s="65">
        <f>K38+P38</f>
        <v>-8</v>
      </c>
      <c r="R38" s="61">
        <v>160</v>
      </c>
      <c r="S38" s="61">
        <v>160</v>
      </c>
      <c r="T38" s="61">
        <v>8</v>
      </c>
      <c r="U38" s="61">
        <f>S38+T38</f>
        <v>168</v>
      </c>
      <c r="V38" s="61">
        <f>R38-U38</f>
        <v>-8</v>
      </c>
      <c r="W38" s="72">
        <f>Q38+V38</f>
        <v>-16</v>
      </c>
      <c r="X38" s="70">
        <v>160</v>
      </c>
      <c r="Y38" s="70">
        <v>160</v>
      </c>
      <c r="Z38" s="70"/>
      <c r="AA38" s="70">
        <f>Y38+Z38</f>
        <v>160</v>
      </c>
      <c r="AB38" s="70">
        <f>X38-AA38</f>
        <v>0</v>
      </c>
      <c r="AC38" s="73">
        <f>W38+AB38</f>
        <v>-16</v>
      </c>
      <c r="AD38" s="77">
        <v>160</v>
      </c>
      <c r="AE38" s="77">
        <v>158</v>
      </c>
      <c r="AF38" s="77"/>
      <c r="AG38" s="77">
        <f>AE38+AF38</f>
        <v>158</v>
      </c>
      <c r="AH38" s="77">
        <f>AD38-AG38</f>
        <v>2</v>
      </c>
      <c r="AI38" s="84">
        <f>AC38+AH38</f>
        <v>-14</v>
      </c>
      <c r="AJ38" s="80">
        <v>160</v>
      </c>
      <c r="AK38" s="80">
        <v>160</v>
      </c>
      <c r="AL38" s="80"/>
      <c r="AM38" s="80">
        <v>160</v>
      </c>
      <c r="AN38" s="80">
        <f>AJ38-AM38</f>
        <v>0</v>
      </c>
      <c r="AO38" s="80">
        <f>AI38+AN38</f>
        <v>-14</v>
      </c>
      <c r="AP38" s="82">
        <v>160</v>
      </c>
      <c r="AQ38" s="82">
        <v>168</v>
      </c>
      <c r="AR38" s="82"/>
      <c r="AS38" s="82">
        <f>AQ38+AR38</f>
        <v>168</v>
      </c>
      <c r="AT38" s="82">
        <f>AP38-AS38</f>
        <v>-8</v>
      </c>
      <c r="AU38" s="82">
        <f>AO38+AT38</f>
        <v>-22</v>
      </c>
      <c r="AV38" s="77">
        <v>160</v>
      </c>
      <c r="AW38" s="77">
        <v>160</v>
      </c>
      <c r="AX38" s="77"/>
      <c r="AY38" s="77">
        <f>AW38+AX38</f>
        <v>160</v>
      </c>
      <c r="AZ38" s="77">
        <f>AV38-AY38</f>
        <v>0</v>
      </c>
      <c r="BA38" s="77">
        <f>AU38+AZ38</f>
        <v>-22</v>
      </c>
      <c r="BB38" s="58">
        <v>160</v>
      </c>
      <c r="BC38" s="58"/>
      <c r="BD38" s="58"/>
      <c r="BE38" s="58">
        <v>0</v>
      </c>
      <c r="BF38" s="58">
        <v>160</v>
      </c>
      <c r="BG38" s="58">
        <v>960</v>
      </c>
      <c r="BH38" s="77">
        <v>160</v>
      </c>
      <c r="BI38" s="77"/>
      <c r="BJ38" s="77"/>
      <c r="BK38" s="77">
        <v>0</v>
      </c>
      <c r="BL38" s="77">
        <v>160</v>
      </c>
      <c r="BM38" s="77">
        <v>960</v>
      </c>
      <c r="BN38" s="80">
        <v>160</v>
      </c>
      <c r="BO38" s="80"/>
      <c r="BP38" s="80"/>
      <c r="BQ38" s="80">
        <v>0</v>
      </c>
      <c r="BR38" s="80">
        <v>160</v>
      </c>
      <c r="BS38" s="80">
        <v>960</v>
      </c>
    </row>
    <row r="39" spans="1:71">
      <c r="A39" s="17" t="s">
        <v>63</v>
      </c>
      <c r="B39" s="17" t="s">
        <v>69</v>
      </c>
      <c r="C39" s="18">
        <v>1061807639</v>
      </c>
      <c r="D39" s="19">
        <v>46055</v>
      </c>
      <c r="E39" s="35">
        <v>46368</v>
      </c>
      <c r="F39" s="40">
        <f>(DAY(D39)-30-1)*-1</f>
        <v>29</v>
      </c>
      <c r="G39" s="41">
        <v>152</v>
      </c>
      <c r="H39" s="32">
        <v>144</v>
      </c>
      <c r="I39" s="32">
        <v>8</v>
      </c>
      <c r="J39" s="32">
        <f>H39+I39</f>
        <v>152</v>
      </c>
      <c r="K39" s="42">
        <f>G39-J39</f>
        <v>0</v>
      </c>
      <c r="L39" s="58">
        <v>160</v>
      </c>
      <c r="M39" s="58">
        <v>160</v>
      </c>
      <c r="N39" s="58">
        <v>8</v>
      </c>
      <c r="O39" s="58">
        <f>M39+N39</f>
        <v>168</v>
      </c>
      <c r="P39" s="58">
        <f>L39-O39</f>
        <v>-8</v>
      </c>
      <c r="Q39" s="65">
        <f>K39+P39</f>
        <v>-8</v>
      </c>
      <c r="R39" s="61">
        <v>160</v>
      </c>
      <c r="S39" s="61">
        <v>152</v>
      </c>
      <c r="T39" s="61">
        <v>8</v>
      </c>
      <c r="U39" s="61">
        <f>S39+T39</f>
        <v>160</v>
      </c>
      <c r="V39" s="61">
        <f>R39-U39</f>
        <v>0</v>
      </c>
      <c r="W39" s="72">
        <f>Q39+V39</f>
        <v>-8</v>
      </c>
      <c r="X39" s="70">
        <v>160</v>
      </c>
      <c r="Y39" s="70">
        <v>160</v>
      </c>
      <c r="Z39" s="70"/>
      <c r="AA39" s="70">
        <f>Y39+Z39</f>
        <v>160</v>
      </c>
      <c r="AB39" s="70">
        <f>X39-AA39</f>
        <v>0</v>
      </c>
      <c r="AC39" s="73">
        <f>W39+AB39</f>
        <v>-8</v>
      </c>
      <c r="AD39" s="77">
        <v>160</v>
      </c>
      <c r="AE39" s="77">
        <v>168</v>
      </c>
      <c r="AF39" s="77"/>
      <c r="AG39" s="77">
        <f>AE39+AF39</f>
        <v>168</v>
      </c>
      <c r="AH39" s="77">
        <f>AD39-AG39</f>
        <v>-8</v>
      </c>
      <c r="AI39" s="84">
        <f>AC39+AH39</f>
        <v>-16</v>
      </c>
      <c r="AJ39" s="80">
        <v>160</v>
      </c>
      <c r="AK39" s="80">
        <v>160</v>
      </c>
      <c r="AL39" s="80"/>
      <c r="AM39" s="80">
        <f>AK39+AL39</f>
        <v>160</v>
      </c>
      <c r="AN39" s="80">
        <f>AJ39-AM39</f>
        <v>0</v>
      </c>
      <c r="AO39" s="80">
        <f>AI39+AN39</f>
        <v>-16</v>
      </c>
      <c r="AP39" s="82">
        <v>160</v>
      </c>
      <c r="AQ39" s="82">
        <v>160</v>
      </c>
      <c r="AR39" s="82"/>
      <c r="AS39" s="82">
        <f>AQ39+AR39</f>
        <v>160</v>
      </c>
      <c r="AT39" s="82">
        <f>AP39-AS39</f>
        <v>0</v>
      </c>
      <c r="AU39" s="82">
        <f>AO39+AT39</f>
        <v>-16</v>
      </c>
      <c r="AV39" s="77">
        <v>160</v>
      </c>
      <c r="AW39" s="77">
        <v>176</v>
      </c>
      <c r="AX39" s="77"/>
      <c r="AY39" s="77">
        <f>AW39+AX39</f>
        <v>176</v>
      </c>
      <c r="AZ39" s="77">
        <f>AV39-AY39</f>
        <v>-16</v>
      </c>
      <c r="BA39" s="77">
        <f>AU39+AZ39</f>
        <v>-32</v>
      </c>
      <c r="BB39" s="58">
        <v>160</v>
      </c>
      <c r="BC39" s="58"/>
      <c r="BD39" s="58"/>
      <c r="BE39" s="58">
        <v>0</v>
      </c>
      <c r="BF39" s="58">
        <v>160</v>
      </c>
      <c r="BG39" s="58">
        <v>960</v>
      </c>
      <c r="BH39" s="77">
        <v>160</v>
      </c>
      <c r="BI39" s="77"/>
      <c r="BJ39" s="77"/>
      <c r="BK39" s="77">
        <v>0</v>
      </c>
      <c r="BL39" s="77">
        <v>160</v>
      </c>
      <c r="BM39" s="77">
        <v>960</v>
      </c>
      <c r="BN39" s="80">
        <v>160</v>
      </c>
      <c r="BO39" s="80"/>
      <c r="BP39" s="80"/>
      <c r="BQ39" s="80">
        <v>0</v>
      </c>
      <c r="BR39" s="80">
        <v>160</v>
      </c>
      <c r="BS39" s="80">
        <v>960</v>
      </c>
    </row>
    <row r="40" spans="1:71">
      <c r="A40" s="17" t="s">
        <v>63</v>
      </c>
      <c r="B40" s="17" t="s">
        <v>70</v>
      </c>
      <c r="C40" s="18">
        <v>1086549754</v>
      </c>
      <c r="D40" s="19">
        <v>46055</v>
      </c>
      <c r="E40" s="35">
        <v>46368</v>
      </c>
      <c r="F40" s="40">
        <f>(DAY(D40)-30-1)*-1</f>
        <v>29</v>
      </c>
      <c r="G40" s="41">
        <v>152</v>
      </c>
      <c r="H40" s="32">
        <v>128</v>
      </c>
      <c r="I40" s="32">
        <v>24</v>
      </c>
      <c r="J40" s="32">
        <f>H40+I40</f>
        <v>152</v>
      </c>
      <c r="K40" s="42">
        <f>G40-J40</f>
        <v>0</v>
      </c>
      <c r="L40" s="58">
        <v>160</v>
      </c>
      <c r="M40" s="58">
        <v>160</v>
      </c>
      <c r="N40" s="58">
        <v>0</v>
      </c>
      <c r="O40" s="58">
        <f>M40+N40</f>
        <v>160</v>
      </c>
      <c r="P40" s="58">
        <f>L40-O40</f>
        <v>0</v>
      </c>
      <c r="Q40" s="65">
        <f>K40+P40</f>
        <v>0</v>
      </c>
      <c r="R40" s="61">
        <v>160</v>
      </c>
      <c r="S40" s="61">
        <v>160</v>
      </c>
      <c r="T40" s="61">
        <v>8</v>
      </c>
      <c r="U40" s="61">
        <f>S40+T40</f>
        <v>168</v>
      </c>
      <c r="V40" s="61">
        <f>R40-U40</f>
        <v>-8</v>
      </c>
      <c r="W40" s="72">
        <f>Q40+V40</f>
        <v>-8</v>
      </c>
      <c r="X40" s="70">
        <v>160</v>
      </c>
      <c r="Y40" s="70">
        <v>160</v>
      </c>
      <c r="Z40" s="70"/>
      <c r="AA40" s="70">
        <f>Y40+Z40</f>
        <v>160</v>
      </c>
      <c r="AB40" s="70">
        <f>X40-AA40</f>
        <v>0</v>
      </c>
      <c r="AC40" s="73">
        <f>W40+AB40</f>
        <v>-8</v>
      </c>
      <c r="AD40" s="77">
        <v>160</v>
      </c>
      <c r="AE40" s="77">
        <v>144</v>
      </c>
      <c r="AF40" s="77"/>
      <c r="AG40" s="77">
        <f>AE40+AF40</f>
        <v>144</v>
      </c>
      <c r="AH40" s="77">
        <f>AD40-AG40</f>
        <v>16</v>
      </c>
      <c r="AI40" s="84">
        <f>AC40+AH40</f>
        <v>8</v>
      </c>
      <c r="AJ40" s="80">
        <v>160</v>
      </c>
      <c r="AK40" s="80">
        <v>136</v>
      </c>
      <c r="AL40" s="80"/>
      <c r="AM40" s="80">
        <f>AK40+AL40</f>
        <v>136</v>
      </c>
      <c r="AN40" s="80">
        <f>AJ40-AM40</f>
        <v>24</v>
      </c>
      <c r="AO40" s="80">
        <f>AI40+AN40</f>
        <v>32</v>
      </c>
      <c r="AP40" s="82">
        <v>160</v>
      </c>
      <c r="AQ40" s="82">
        <v>176</v>
      </c>
      <c r="AR40" s="82"/>
      <c r="AS40" s="82">
        <f>AQ40+AR40</f>
        <v>176</v>
      </c>
      <c r="AT40" s="82">
        <f>AP40-AS40</f>
        <v>-16</v>
      </c>
      <c r="AU40" s="82">
        <f>AO40+AT40</f>
        <v>16</v>
      </c>
      <c r="AV40" s="77">
        <v>160</v>
      </c>
      <c r="AW40" s="77">
        <v>176</v>
      </c>
      <c r="AX40" s="77"/>
      <c r="AY40" s="77">
        <f>AW40+AX40</f>
        <v>176</v>
      </c>
      <c r="AZ40" s="77">
        <f>AV40-AY40</f>
        <v>-16</v>
      </c>
      <c r="BA40" s="77">
        <f>AU40+AZ40</f>
        <v>0</v>
      </c>
      <c r="BB40" s="58">
        <v>160</v>
      </c>
      <c r="BC40" s="58"/>
      <c r="BD40" s="58"/>
      <c r="BE40" s="58">
        <v>0</v>
      </c>
      <c r="BF40" s="58">
        <v>160</v>
      </c>
      <c r="BG40" s="58">
        <v>960</v>
      </c>
      <c r="BH40" s="77">
        <v>160</v>
      </c>
      <c r="BI40" s="77"/>
      <c r="BJ40" s="77"/>
      <c r="BK40" s="77">
        <v>0</v>
      </c>
      <c r="BL40" s="77">
        <v>160</v>
      </c>
      <c r="BM40" s="77">
        <v>960</v>
      </c>
      <c r="BN40" s="80">
        <v>160</v>
      </c>
      <c r="BO40" s="80"/>
      <c r="BP40" s="80"/>
      <c r="BQ40" s="80">
        <v>0</v>
      </c>
      <c r="BR40" s="80">
        <v>160</v>
      </c>
      <c r="BS40" s="80">
        <v>960</v>
      </c>
    </row>
    <row r="41" spans="1:71">
      <c r="A41" s="17" t="s">
        <v>63</v>
      </c>
      <c r="B41" s="124" t="s">
        <v>71</v>
      </c>
      <c r="C41" s="18">
        <v>1061782688</v>
      </c>
      <c r="D41" s="19">
        <v>46055</v>
      </c>
      <c r="E41" s="35">
        <v>46368</v>
      </c>
      <c r="F41" s="40">
        <f>(DAY(D41)-30-1)*-1</f>
        <v>29</v>
      </c>
      <c r="G41" s="41">
        <v>152</v>
      </c>
      <c r="H41" s="32">
        <v>80</v>
      </c>
      <c r="I41" s="32">
        <v>72</v>
      </c>
      <c r="J41" s="32">
        <f>H41+I41</f>
        <v>152</v>
      </c>
      <c r="K41" s="42">
        <f>G41-J41</f>
        <v>0</v>
      </c>
      <c r="L41" s="58">
        <v>160</v>
      </c>
      <c r="M41" s="32">
        <v>112</v>
      </c>
      <c r="N41" s="58">
        <v>48</v>
      </c>
      <c r="O41" s="58">
        <f>M41+N41</f>
        <v>160</v>
      </c>
      <c r="P41" s="58">
        <f>L41-O41</f>
        <v>0</v>
      </c>
      <c r="Q41" s="65">
        <f>K41+P41</f>
        <v>0</v>
      </c>
      <c r="R41" s="61">
        <v>160</v>
      </c>
      <c r="S41" s="61">
        <v>112</v>
      </c>
      <c r="T41" s="61">
        <v>48</v>
      </c>
      <c r="U41" s="61">
        <f>S41+T41</f>
        <v>160</v>
      </c>
      <c r="V41" s="61">
        <f>R41-U41</f>
        <v>0</v>
      </c>
      <c r="W41" s="72">
        <f>Q41+V41</f>
        <v>0</v>
      </c>
      <c r="X41" s="70">
        <v>160</v>
      </c>
      <c r="Y41" s="70">
        <v>112</v>
      </c>
      <c r="Z41" s="70">
        <v>48</v>
      </c>
      <c r="AA41" s="70">
        <f>Y41+Z41</f>
        <v>160</v>
      </c>
      <c r="AB41" s="70">
        <f>X41-AA41</f>
        <v>0</v>
      </c>
      <c r="AC41" s="73">
        <f>W41+AB41</f>
        <v>0</v>
      </c>
      <c r="AD41" s="77">
        <v>160</v>
      </c>
      <c r="AE41" s="77">
        <v>112</v>
      </c>
      <c r="AF41" s="77">
        <v>48</v>
      </c>
      <c r="AG41" s="77">
        <f>AE41+AF41</f>
        <v>160</v>
      </c>
      <c r="AH41" s="77">
        <f>AD41-AG41</f>
        <v>0</v>
      </c>
      <c r="AI41" s="84">
        <f>AC41+AH41</f>
        <v>0</v>
      </c>
      <c r="AJ41" s="80">
        <v>160</v>
      </c>
      <c r="AK41" s="80">
        <v>112</v>
      </c>
      <c r="AL41" s="80">
        <v>48</v>
      </c>
      <c r="AM41" s="80">
        <f>AK41+AL41</f>
        <v>160</v>
      </c>
      <c r="AN41" s="80">
        <f>AJ41-AM41</f>
        <v>0</v>
      </c>
      <c r="AO41" s="80">
        <f>AI41+AN41</f>
        <v>0</v>
      </c>
      <c r="AP41" s="82">
        <v>160</v>
      </c>
      <c r="AQ41" s="82">
        <v>112</v>
      </c>
      <c r="AR41" s="82">
        <v>48</v>
      </c>
      <c r="AS41" s="82">
        <f>AQ41+AR41</f>
        <v>160</v>
      </c>
      <c r="AT41" s="82">
        <f>AP41-AS41</f>
        <v>0</v>
      </c>
      <c r="AU41" s="82">
        <f>AO41+AT41</f>
        <v>0</v>
      </c>
      <c r="AV41" s="77">
        <v>160</v>
      </c>
      <c r="AW41" s="77">
        <v>112</v>
      </c>
      <c r="AX41" s="77">
        <v>48</v>
      </c>
      <c r="AY41" s="77">
        <f>AW41+AX41</f>
        <v>160</v>
      </c>
      <c r="AZ41" s="77">
        <f>AV41-AY41</f>
        <v>0</v>
      </c>
      <c r="BA41" s="77">
        <f>AU41+AZ41</f>
        <v>0</v>
      </c>
      <c r="BB41" s="58">
        <v>160</v>
      </c>
      <c r="BC41" s="58"/>
      <c r="BD41" s="58"/>
      <c r="BE41" s="58">
        <v>0</v>
      </c>
      <c r="BF41" s="58">
        <v>160</v>
      </c>
      <c r="BG41" s="58">
        <v>960</v>
      </c>
      <c r="BH41" s="77">
        <v>160</v>
      </c>
      <c r="BI41" s="77"/>
      <c r="BJ41" s="77"/>
      <c r="BK41" s="77">
        <v>0</v>
      </c>
      <c r="BL41" s="77">
        <v>160</v>
      </c>
      <c r="BM41" s="77">
        <v>960</v>
      </c>
      <c r="BN41" s="80">
        <v>160</v>
      </c>
      <c r="BO41" s="80"/>
      <c r="BP41" s="80"/>
      <c r="BQ41" s="80">
        <v>0</v>
      </c>
      <c r="BR41" s="80">
        <v>160</v>
      </c>
      <c r="BS41" s="80">
        <v>960</v>
      </c>
    </row>
    <row r="42" spans="1:71">
      <c r="A42" s="17" t="s">
        <v>63</v>
      </c>
      <c r="B42" s="17" t="s">
        <v>72</v>
      </c>
      <c r="C42" s="18">
        <v>91487365</v>
      </c>
      <c r="D42" s="19">
        <v>46055</v>
      </c>
      <c r="E42" s="35">
        <v>46368</v>
      </c>
      <c r="F42" s="40">
        <f>(DAY(D42)-30-1)*-1</f>
        <v>29</v>
      </c>
      <c r="G42" s="41">
        <v>152</v>
      </c>
      <c r="H42" s="32">
        <v>136</v>
      </c>
      <c r="I42" s="32">
        <v>16</v>
      </c>
      <c r="J42" s="32">
        <f>H42+I42</f>
        <v>152</v>
      </c>
      <c r="K42" s="42">
        <f>G42-J42</f>
        <v>0</v>
      </c>
      <c r="L42" s="58">
        <v>160</v>
      </c>
      <c r="M42" s="63">
        <v>121</v>
      </c>
      <c r="N42" s="58">
        <v>40</v>
      </c>
      <c r="O42" s="58">
        <f>M42+N42</f>
        <v>161</v>
      </c>
      <c r="P42" s="58">
        <f>L42-O42</f>
        <v>-1</v>
      </c>
      <c r="Q42" s="65">
        <f>K42+P42</f>
        <v>-1</v>
      </c>
      <c r="R42" s="61">
        <v>160</v>
      </c>
      <c r="S42" s="61">
        <v>150</v>
      </c>
      <c r="T42" s="61">
        <v>8</v>
      </c>
      <c r="U42" s="61">
        <f>S42+T42</f>
        <v>158</v>
      </c>
      <c r="V42" s="61">
        <f>R42-U42</f>
        <v>2</v>
      </c>
      <c r="W42" s="72">
        <f>Q42+V42</f>
        <v>1</v>
      </c>
      <c r="X42" s="70">
        <v>160</v>
      </c>
      <c r="Y42" s="70">
        <v>160</v>
      </c>
      <c r="Z42" s="70"/>
      <c r="AA42" s="70">
        <f>Y42+Z42</f>
        <v>160</v>
      </c>
      <c r="AB42" s="70">
        <f>X42-AA42</f>
        <v>0</v>
      </c>
      <c r="AC42" s="73">
        <f>W42+AB42</f>
        <v>1</v>
      </c>
      <c r="AD42" s="77">
        <v>160</v>
      </c>
      <c r="AE42" s="77">
        <v>163</v>
      </c>
      <c r="AF42" s="77"/>
      <c r="AG42" s="77">
        <f>AE42+AF42</f>
        <v>163</v>
      </c>
      <c r="AH42" s="77">
        <f>AD42-AG42</f>
        <v>-3</v>
      </c>
      <c r="AI42" s="84">
        <f>AC42+AH42</f>
        <v>-2</v>
      </c>
      <c r="AJ42" s="80">
        <v>160</v>
      </c>
      <c r="AK42" s="80">
        <v>184</v>
      </c>
      <c r="AL42" s="80"/>
      <c r="AM42" s="80">
        <f>AK42+AL42</f>
        <v>184</v>
      </c>
      <c r="AN42" s="80">
        <f>AJ42-AM42</f>
        <v>-24</v>
      </c>
      <c r="AO42" s="80">
        <f>AI42+AN42</f>
        <v>-26</v>
      </c>
      <c r="AP42" s="82">
        <v>160</v>
      </c>
      <c r="AQ42" s="82">
        <v>165</v>
      </c>
      <c r="AR42" s="82"/>
      <c r="AS42" s="82">
        <f>AQ42+AR42</f>
        <v>165</v>
      </c>
      <c r="AT42" s="82">
        <f>AP42-AS42</f>
        <v>-5</v>
      </c>
      <c r="AU42" s="82">
        <f>AO42+AT42</f>
        <v>-31</v>
      </c>
      <c r="AV42" s="77">
        <v>160</v>
      </c>
      <c r="AW42" s="77">
        <v>160</v>
      </c>
      <c r="AX42" s="77"/>
      <c r="AY42" s="77">
        <f>AW42+AX42</f>
        <v>160</v>
      </c>
      <c r="AZ42" s="77">
        <f>AV42-AY42</f>
        <v>0</v>
      </c>
      <c r="BA42" s="77">
        <f>AU42+AZ42</f>
        <v>-31</v>
      </c>
      <c r="BB42" s="58">
        <v>160</v>
      </c>
      <c r="BC42" s="58"/>
      <c r="BD42" s="58"/>
      <c r="BE42" s="58">
        <v>0</v>
      </c>
      <c r="BF42" s="58">
        <v>160</v>
      </c>
      <c r="BG42" s="58">
        <v>960</v>
      </c>
      <c r="BH42" s="77">
        <v>160</v>
      </c>
      <c r="BI42" s="77"/>
      <c r="BJ42" s="77"/>
      <c r="BK42" s="77">
        <v>0</v>
      </c>
      <c r="BL42" s="77">
        <v>160</v>
      </c>
      <c r="BM42" s="77">
        <v>960</v>
      </c>
      <c r="BN42" s="80">
        <v>160</v>
      </c>
      <c r="BO42" s="80"/>
      <c r="BP42" s="80"/>
      <c r="BQ42" s="80">
        <v>0</v>
      </c>
      <c r="BR42" s="80">
        <v>160</v>
      </c>
      <c r="BS42" s="80">
        <v>960</v>
      </c>
    </row>
    <row r="43" spans="1:71">
      <c r="A43" s="17" t="s">
        <v>63</v>
      </c>
      <c r="B43" s="17" t="s">
        <v>73</v>
      </c>
      <c r="C43" s="18">
        <v>1061711527</v>
      </c>
      <c r="D43" s="19">
        <v>46055</v>
      </c>
      <c r="E43" s="35">
        <v>46368</v>
      </c>
      <c r="F43" s="40">
        <f>(DAY(D43)-30-1)*-1</f>
        <v>29</v>
      </c>
      <c r="G43" s="41">
        <v>152</v>
      </c>
      <c r="H43" s="32">
        <v>128</v>
      </c>
      <c r="I43" s="32">
        <v>24</v>
      </c>
      <c r="J43" s="32">
        <f>H43+I43</f>
        <v>152</v>
      </c>
      <c r="K43" s="42">
        <f>G43-J43</f>
        <v>0</v>
      </c>
      <c r="L43" s="58">
        <v>160</v>
      </c>
      <c r="M43" s="64">
        <v>160</v>
      </c>
      <c r="N43" s="58">
        <v>8</v>
      </c>
      <c r="O43" s="58">
        <f>M43+N43</f>
        <v>168</v>
      </c>
      <c r="P43" s="58">
        <f>L43-O43</f>
        <v>-8</v>
      </c>
      <c r="Q43" s="65">
        <f>K43+P43</f>
        <v>-8</v>
      </c>
      <c r="R43" s="61">
        <v>160</v>
      </c>
      <c r="S43" s="61">
        <v>160</v>
      </c>
      <c r="T43" s="61">
        <v>8</v>
      </c>
      <c r="U43" s="61">
        <f>S43+T43</f>
        <v>168</v>
      </c>
      <c r="V43" s="61">
        <f>R43-U43</f>
        <v>-8</v>
      </c>
      <c r="W43" s="72">
        <f>Q43+V43</f>
        <v>-16</v>
      </c>
      <c r="X43" s="70">
        <v>160</v>
      </c>
      <c r="Y43" s="70">
        <v>160</v>
      </c>
      <c r="Z43" s="70"/>
      <c r="AA43" s="70">
        <f>Y43+Z43</f>
        <v>160</v>
      </c>
      <c r="AB43" s="70">
        <f>X43-AA43</f>
        <v>0</v>
      </c>
      <c r="AC43" s="73">
        <f>W43+AB43</f>
        <v>-16</v>
      </c>
      <c r="AD43" s="77">
        <v>160</v>
      </c>
      <c r="AE43" s="77">
        <v>160</v>
      </c>
      <c r="AF43" s="77"/>
      <c r="AG43" s="77">
        <f>AE43+AF43</f>
        <v>160</v>
      </c>
      <c r="AH43" s="77">
        <f>AD43-AG43</f>
        <v>0</v>
      </c>
      <c r="AI43" s="84">
        <f>AC43+AH43</f>
        <v>-16</v>
      </c>
      <c r="AJ43" s="80">
        <v>160</v>
      </c>
      <c r="AK43" s="80">
        <v>164</v>
      </c>
      <c r="AL43" s="80"/>
      <c r="AM43" s="80">
        <f>AK43+AL43</f>
        <v>164</v>
      </c>
      <c r="AN43" s="80">
        <f>AJ43-AM43</f>
        <v>-4</v>
      </c>
      <c r="AO43" s="80">
        <f>AI43+AN43</f>
        <v>-20</v>
      </c>
      <c r="AP43" s="82">
        <v>160</v>
      </c>
      <c r="AQ43" s="82">
        <v>160</v>
      </c>
      <c r="AR43" s="82"/>
      <c r="AS43" s="82">
        <f>AQ43+AR43</f>
        <v>160</v>
      </c>
      <c r="AT43" s="82">
        <f>AP43-AS43</f>
        <v>0</v>
      </c>
      <c r="AU43" s="82">
        <f>AO43+AT43</f>
        <v>-20</v>
      </c>
      <c r="AV43" s="77">
        <v>160</v>
      </c>
      <c r="AW43" s="77">
        <v>156</v>
      </c>
      <c r="AX43" s="77"/>
      <c r="AY43" s="77">
        <f>AW43+AX43</f>
        <v>156</v>
      </c>
      <c r="AZ43" s="77">
        <f>AV43-AY43</f>
        <v>4</v>
      </c>
      <c r="BA43" s="77">
        <f>AU43+AZ43</f>
        <v>-16</v>
      </c>
      <c r="BB43" s="58">
        <v>160</v>
      </c>
      <c r="BC43" s="58"/>
      <c r="BD43" s="58"/>
      <c r="BE43" s="58">
        <v>0</v>
      </c>
      <c r="BF43" s="58">
        <v>160</v>
      </c>
      <c r="BG43" s="58">
        <v>960</v>
      </c>
      <c r="BH43" s="77">
        <v>160</v>
      </c>
      <c r="BI43" s="77"/>
      <c r="BJ43" s="77"/>
      <c r="BK43" s="77">
        <v>0</v>
      </c>
      <c r="BL43" s="77">
        <v>160</v>
      </c>
      <c r="BM43" s="77">
        <v>960</v>
      </c>
      <c r="BN43" s="80">
        <v>160</v>
      </c>
      <c r="BO43" s="80"/>
      <c r="BP43" s="80"/>
      <c r="BQ43" s="80">
        <v>0</v>
      </c>
      <c r="BR43" s="80">
        <v>160</v>
      </c>
      <c r="BS43" s="80">
        <v>960</v>
      </c>
    </row>
    <row r="44" spans="1:71">
      <c r="A44" s="17" t="s">
        <v>63</v>
      </c>
      <c r="B44" s="17" t="s">
        <v>74</v>
      </c>
      <c r="C44" s="18">
        <v>25285705</v>
      </c>
      <c r="D44" s="19">
        <v>46212</v>
      </c>
      <c r="E44" s="35">
        <v>46371</v>
      </c>
      <c r="F44" s="40">
        <f>(DAY(D44)-30-1)*-1</f>
        <v>22</v>
      </c>
      <c r="G44" s="41">
        <v>152</v>
      </c>
      <c r="H44" s="32">
        <v>128</v>
      </c>
      <c r="I44" s="32">
        <v>24</v>
      </c>
      <c r="J44" s="32">
        <f>H44+I44</f>
        <v>152</v>
      </c>
      <c r="K44" s="42">
        <f>G44-J44</f>
        <v>0</v>
      </c>
      <c r="L44" s="58">
        <v>160</v>
      </c>
      <c r="M44" s="64">
        <v>160</v>
      </c>
      <c r="N44" s="58">
        <v>8</v>
      </c>
      <c r="O44" s="58">
        <f>M44+N44</f>
        <v>168</v>
      </c>
      <c r="P44" s="58">
        <f>L44-O44</f>
        <v>-8</v>
      </c>
      <c r="Q44" s="65">
        <f>K44+P44</f>
        <v>-8</v>
      </c>
      <c r="R44" s="61">
        <v>160</v>
      </c>
      <c r="S44" s="61">
        <v>160</v>
      </c>
      <c r="T44" s="61">
        <v>8</v>
      </c>
      <c r="U44" s="61">
        <f>S44+T44</f>
        <v>168</v>
      </c>
      <c r="V44" s="61">
        <f>R44-U44</f>
        <v>-8</v>
      </c>
      <c r="W44" s="72">
        <f>Q44+V44</f>
        <v>-16</v>
      </c>
      <c r="X44" s="70">
        <v>160</v>
      </c>
      <c r="Y44" s="70">
        <v>160</v>
      </c>
      <c r="Z44" s="70"/>
      <c r="AA44" s="70">
        <f>Y44+Z44</f>
        <v>160</v>
      </c>
      <c r="AB44" s="70">
        <f>X44-AA44</f>
        <v>0</v>
      </c>
      <c r="AC44" s="73">
        <f>W44+AB44</f>
        <v>-16</v>
      </c>
      <c r="AD44" s="77">
        <v>160</v>
      </c>
      <c r="AE44" s="77">
        <v>160</v>
      </c>
      <c r="AF44" s="77"/>
      <c r="AG44" s="77">
        <f>AE44+AF44</f>
        <v>160</v>
      </c>
      <c r="AH44" s="77">
        <f>AD44-AG44</f>
        <v>0</v>
      </c>
      <c r="AI44" s="84">
        <f>AC44+AH44</f>
        <v>-16</v>
      </c>
      <c r="AJ44" s="80">
        <v>160</v>
      </c>
      <c r="AK44" s="80">
        <v>164</v>
      </c>
      <c r="AL44" s="80"/>
      <c r="AM44" s="80">
        <f>AK44+AL44</f>
        <v>164</v>
      </c>
      <c r="AN44" s="80">
        <f>AJ44-AM44</f>
        <v>-4</v>
      </c>
      <c r="AO44" s="80">
        <f>AI44+AN44</f>
        <v>-20</v>
      </c>
      <c r="AP44" s="82">
        <v>160</v>
      </c>
      <c r="AQ44" s="82">
        <v>160</v>
      </c>
      <c r="AR44" s="82"/>
      <c r="AS44" s="82">
        <f>AQ44+AR44</f>
        <v>160</v>
      </c>
      <c r="AT44" s="82">
        <f>AP44-AS44</f>
        <v>0</v>
      </c>
      <c r="AU44" s="82">
        <f>AO44+AT44</f>
        <v>-20</v>
      </c>
      <c r="AV44" s="77">
        <v>160</v>
      </c>
      <c r="AW44" s="77">
        <v>128</v>
      </c>
      <c r="AX44" s="77">
        <v>40</v>
      </c>
      <c r="AY44" s="77">
        <f>AW44+AX44</f>
        <v>168</v>
      </c>
      <c r="AZ44" s="77">
        <f>AV44-AY44</f>
        <v>-8</v>
      </c>
      <c r="BA44" s="77">
        <f>AU44+AZ44</f>
        <v>-28</v>
      </c>
      <c r="BB44" s="58"/>
      <c r="BC44" s="58"/>
      <c r="BD44" s="58"/>
      <c r="BE44" s="58"/>
      <c r="BF44" s="58"/>
      <c r="BG44" s="58"/>
      <c r="BH44" s="77"/>
      <c r="BI44" s="77"/>
      <c r="BJ44" s="77"/>
      <c r="BK44" s="77"/>
      <c r="BL44" s="77"/>
      <c r="BM44" s="77"/>
      <c r="BN44" s="80"/>
      <c r="BO44" s="80"/>
      <c r="BP44" s="80"/>
      <c r="BQ44" s="80"/>
      <c r="BR44" s="80"/>
      <c r="BS44" s="80"/>
    </row>
    <row r="45" spans="1:71">
      <c r="A45" s="17" t="s">
        <v>63</v>
      </c>
      <c r="B45" s="17" t="s">
        <v>75</v>
      </c>
      <c r="C45" s="18">
        <v>1006846942</v>
      </c>
      <c r="D45" s="19">
        <v>46243</v>
      </c>
      <c r="E45" s="35">
        <v>46371</v>
      </c>
      <c r="F45" s="40">
        <f>(DAY(D45)-30-1)*-1</f>
        <v>22</v>
      </c>
      <c r="G45" s="41">
        <v>152</v>
      </c>
      <c r="H45" s="32">
        <v>128</v>
      </c>
      <c r="I45" s="32">
        <v>24</v>
      </c>
      <c r="J45" s="32">
        <f>H45+I45</f>
        <v>152</v>
      </c>
      <c r="K45" s="42">
        <f>G45-J45</f>
        <v>0</v>
      </c>
      <c r="L45" s="58">
        <v>160</v>
      </c>
      <c r="M45" s="64">
        <v>160</v>
      </c>
      <c r="N45" s="58">
        <v>8</v>
      </c>
      <c r="O45" s="58">
        <f>M45+N45</f>
        <v>168</v>
      </c>
      <c r="P45" s="58">
        <f>L45-O45</f>
        <v>-8</v>
      </c>
      <c r="Q45" s="65">
        <f>K45+P45</f>
        <v>-8</v>
      </c>
      <c r="R45" s="61">
        <v>160</v>
      </c>
      <c r="S45" s="61">
        <v>160</v>
      </c>
      <c r="T45" s="61">
        <v>8</v>
      </c>
      <c r="U45" s="61">
        <f>S45+T45</f>
        <v>168</v>
      </c>
      <c r="V45" s="61">
        <f>R45-U45</f>
        <v>-8</v>
      </c>
      <c r="W45" s="72">
        <f>Q45+V45</f>
        <v>-16</v>
      </c>
      <c r="X45" s="70">
        <v>160</v>
      </c>
      <c r="Y45" s="70">
        <v>160</v>
      </c>
      <c r="Z45" s="70"/>
      <c r="AA45" s="70">
        <f>Y45+Z45</f>
        <v>160</v>
      </c>
      <c r="AB45" s="70">
        <f>X45-AA45</f>
        <v>0</v>
      </c>
      <c r="AC45" s="73">
        <f>W45+AB45</f>
        <v>-16</v>
      </c>
      <c r="AD45" s="77">
        <v>160</v>
      </c>
      <c r="AE45" s="77">
        <v>160</v>
      </c>
      <c r="AF45" s="77"/>
      <c r="AG45" s="77">
        <f>AE45+AF45</f>
        <v>160</v>
      </c>
      <c r="AH45" s="77">
        <f>AD45-AG45</f>
        <v>0</v>
      </c>
      <c r="AI45" s="84">
        <f>AC45+AH45</f>
        <v>-16</v>
      </c>
      <c r="AJ45" s="80">
        <v>160</v>
      </c>
      <c r="AK45" s="80">
        <v>164</v>
      </c>
      <c r="AL45" s="80"/>
      <c r="AM45" s="80">
        <f>AK45+AL45</f>
        <v>164</v>
      </c>
      <c r="AN45" s="80">
        <f>AJ45-AM45</f>
        <v>-4</v>
      </c>
      <c r="AO45" s="80">
        <f>AI45+AN45</f>
        <v>-20</v>
      </c>
      <c r="AP45" s="82">
        <v>160</v>
      </c>
      <c r="AQ45" s="82">
        <v>160</v>
      </c>
      <c r="AR45" s="82"/>
      <c r="AS45" s="82">
        <f>AQ45+AR45</f>
        <v>160</v>
      </c>
      <c r="AT45" s="82">
        <f>AP45-AS45</f>
        <v>0</v>
      </c>
      <c r="AU45" s="82">
        <f>AO45+AT45</f>
        <v>-20</v>
      </c>
      <c r="AV45" s="77">
        <v>160</v>
      </c>
      <c r="AW45" s="77">
        <v>75</v>
      </c>
      <c r="AX45" s="77">
        <v>24</v>
      </c>
      <c r="AY45" s="77">
        <f>AW45+AX45</f>
        <v>99</v>
      </c>
      <c r="AZ45" s="77">
        <f>AV45-AY45</f>
        <v>61</v>
      </c>
      <c r="BA45" s="77">
        <f>AU45+AZ45</f>
        <v>41</v>
      </c>
      <c r="BB45" s="58">
        <v>160</v>
      </c>
      <c r="BC45" s="58"/>
      <c r="BD45" s="58"/>
      <c r="BE45" s="58">
        <v>0</v>
      </c>
      <c r="BF45" s="58">
        <v>160</v>
      </c>
      <c r="BG45" s="58">
        <v>960</v>
      </c>
      <c r="BH45" s="77">
        <v>160</v>
      </c>
      <c r="BI45" s="77"/>
      <c r="BJ45" s="77"/>
      <c r="BK45" s="77">
        <v>0</v>
      </c>
      <c r="BL45" s="77">
        <v>160</v>
      </c>
      <c r="BM45" s="77">
        <v>960</v>
      </c>
      <c r="BN45" s="80">
        <v>160</v>
      </c>
      <c r="BO45" s="80"/>
      <c r="BP45" s="80"/>
      <c r="BQ45" s="80">
        <v>0</v>
      </c>
      <c r="BR45" s="80">
        <v>160</v>
      </c>
      <c r="BS45" s="80">
        <v>960</v>
      </c>
    </row>
    <row r="46" spans="1:71">
      <c r="A46" s="17" t="s">
        <v>63</v>
      </c>
      <c r="B46" s="17" t="s">
        <v>76</v>
      </c>
      <c r="C46" s="18">
        <v>1061753160</v>
      </c>
      <c r="D46" s="19">
        <v>46055</v>
      </c>
      <c r="E46" s="35">
        <v>46368</v>
      </c>
      <c r="F46" s="40">
        <f>(DAY(D46)-30-1)*-1</f>
        <v>29</v>
      </c>
      <c r="G46" s="41">
        <v>152</v>
      </c>
      <c r="H46" s="32">
        <v>128</v>
      </c>
      <c r="I46" s="32">
        <v>24</v>
      </c>
      <c r="J46" s="32">
        <f>H46+I46</f>
        <v>152</v>
      </c>
      <c r="K46" s="42">
        <f>G46-J46</f>
        <v>0</v>
      </c>
      <c r="L46" s="58">
        <v>160</v>
      </c>
      <c r="M46" s="64">
        <v>160</v>
      </c>
      <c r="N46" s="58">
        <v>8</v>
      </c>
      <c r="O46" s="58">
        <f>M46+N46</f>
        <v>168</v>
      </c>
      <c r="P46" s="58">
        <f>L46-O46</f>
        <v>-8</v>
      </c>
      <c r="Q46" s="65">
        <f>K46+P46</f>
        <v>-8</v>
      </c>
      <c r="R46" s="61">
        <v>160</v>
      </c>
      <c r="S46" s="61">
        <v>160</v>
      </c>
      <c r="T46" s="61">
        <v>8</v>
      </c>
      <c r="U46" s="61">
        <f>S46+T46</f>
        <v>168</v>
      </c>
      <c r="V46" s="61">
        <f>R46-U46</f>
        <v>-8</v>
      </c>
      <c r="W46" s="72">
        <f>Q46+V46</f>
        <v>-16</v>
      </c>
      <c r="X46" s="70">
        <v>160</v>
      </c>
      <c r="Y46" s="70">
        <v>158</v>
      </c>
      <c r="Z46" s="70"/>
      <c r="AA46" s="70">
        <f>Y46+Z46</f>
        <v>158</v>
      </c>
      <c r="AB46" s="70">
        <f>X46-AA46</f>
        <v>2</v>
      </c>
      <c r="AC46" s="73">
        <f>W46+AB46</f>
        <v>-14</v>
      </c>
      <c r="AD46" s="77">
        <v>160</v>
      </c>
      <c r="AE46" s="77">
        <v>164</v>
      </c>
      <c r="AF46" s="77"/>
      <c r="AG46" s="77">
        <f>AE46+AF46</f>
        <v>164</v>
      </c>
      <c r="AH46" s="77">
        <f>AD46-AG46</f>
        <v>-4</v>
      </c>
      <c r="AI46" s="84">
        <f>AC46+AH46</f>
        <v>-18</v>
      </c>
      <c r="AJ46" s="80">
        <v>160</v>
      </c>
      <c r="AK46" s="80">
        <v>160</v>
      </c>
      <c r="AL46" s="80"/>
      <c r="AM46" s="80">
        <f>AK46+AL46</f>
        <v>160</v>
      </c>
      <c r="AN46" s="80">
        <f>AJ46-AM46</f>
        <v>0</v>
      </c>
      <c r="AO46" s="80">
        <f>AI46+AN46</f>
        <v>-18</v>
      </c>
      <c r="AP46" s="82">
        <v>160</v>
      </c>
      <c r="AQ46" s="82">
        <v>160</v>
      </c>
      <c r="AR46" s="82"/>
      <c r="AS46" s="82">
        <f>AQ46+AR46</f>
        <v>160</v>
      </c>
      <c r="AT46" s="82">
        <f>AP46-AS46</f>
        <v>0</v>
      </c>
      <c r="AU46" s="82">
        <f>AO46+AT46</f>
        <v>-18</v>
      </c>
      <c r="AV46" s="77">
        <v>160</v>
      </c>
      <c r="AW46" s="77">
        <v>162</v>
      </c>
      <c r="AX46" s="77"/>
      <c r="AY46" s="77">
        <f>AW46+AX46</f>
        <v>162</v>
      </c>
      <c r="AZ46" s="77">
        <f>AV46-AY46</f>
        <v>-2</v>
      </c>
      <c r="BA46" s="77">
        <f>AU46+AZ46</f>
        <v>-20</v>
      </c>
      <c r="BB46" s="58">
        <v>160</v>
      </c>
      <c r="BC46" s="58"/>
      <c r="BD46" s="58"/>
      <c r="BE46" s="58">
        <v>0</v>
      </c>
      <c r="BF46" s="58">
        <v>160</v>
      </c>
      <c r="BG46" s="58">
        <v>960</v>
      </c>
      <c r="BH46" s="77">
        <v>160</v>
      </c>
      <c r="BI46" s="77"/>
      <c r="BJ46" s="77"/>
      <c r="BK46" s="77">
        <v>0</v>
      </c>
      <c r="BL46" s="77">
        <v>160</v>
      </c>
      <c r="BM46" s="77">
        <v>960</v>
      </c>
      <c r="BN46" s="80">
        <v>160</v>
      </c>
      <c r="BO46" s="80"/>
      <c r="BP46" s="80"/>
      <c r="BQ46" s="80">
        <v>0</v>
      </c>
      <c r="BR46" s="80">
        <v>160</v>
      </c>
      <c r="BS46" s="80">
        <v>960</v>
      </c>
    </row>
    <row r="47" spans="1:71">
      <c r="A47" s="17" t="s">
        <v>63</v>
      </c>
      <c r="B47" s="17" t="s">
        <v>77</v>
      </c>
      <c r="C47" s="18">
        <v>34556057</v>
      </c>
      <c r="D47" s="19">
        <v>46083</v>
      </c>
      <c r="E47" s="19">
        <v>46368</v>
      </c>
      <c r="F47" s="24"/>
      <c r="L47" s="58">
        <v>160</v>
      </c>
      <c r="M47" s="125">
        <v>160</v>
      </c>
      <c r="N47" s="125">
        <v>8</v>
      </c>
      <c r="O47" s="58">
        <f>M47+N47</f>
        <v>168</v>
      </c>
      <c r="P47" s="58">
        <f>L47-O47</f>
        <v>-8</v>
      </c>
      <c r="Q47" s="65">
        <f>K47+P47</f>
        <v>-8</v>
      </c>
      <c r="R47" s="61">
        <v>160</v>
      </c>
      <c r="S47" s="61">
        <v>160</v>
      </c>
      <c r="T47" s="61">
        <v>8</v>
      </c>
      <c r="U47" s="61">
        <f>S47+T47</f>
        <v>168</v>
      </c>
      <c r="V47" s="61">
        <f>R47-U47</f>
        <v>-8</v>
      </c>
      <c r="W47" s="72">
        <f>Q47+V47</f>
        <v>-16</v>
      </c>
      <c r="X47" s="70">
        <v>160</v>
      </c>
      <c r="Y47" s="70">
        <v>164</v>
      </c>
      <c r="Z47" s="70"/>
      <c r="AA47" s="70">
        <f>Y47+Z47</f>
        <v>164</v>
      </c>
      <c r="AB47" s="70">
        <f>X47-AA47</f>
        <v>-4</v>
      </c>
      <c r="AC47" s="73">
        <f>W47+AB47</f>
        <v>-20</v>
      </c>
      <c r="AD47" s="77">
        <v>160</v>
      </c>
      <c r="AE47" s="77">
        <v>168</v>
      </c>
      <c r="AF47" s="77"/>
      <c r="AG47" s="77">
        <f>AE47+AF47</f>
        <v>168</v>
      </c>
      <c r="AH47" s="77">
        <f>AD47-AG47</f>
        <v>-8</v>
      </c>
      <c r="AI47" s="84">
        <f>AC47+AH47</f>
        <v>-28</v>
      </c>
      <c r="AJ47" s="80">
        <v>160</v>
      </c>
      <c r="AK47" s="80">
        <v>160</v>
      </c>
      <c r="AL47" s="80"/>
      <c r="AM47" s="80">
        <f>AK47+AL47</f>
        <v>160</v>
      </c>
      <c r="AN47" s="80">
        <f>AJ47-AM47</f>
        <v>0</v>
      </c>
      <c r="AO47" s="80">
        <f>AI47+AN47</f>
        <v>-28</v>
      </c>
      <c r="AP47" s="82">
        <v>160</v>
      </c>
      <c r="AQ47" s="82">
        <v>160</v>
      </c>
      <c r="AR47" s="82"/>
      <c r="AS47" s="82">
        <f>AQ47+AR47</f>
        <v>160</v>
      </c>
      <c r="AT47" s="82">
        <f>AP47-AS47</f>
        <v>0</v>
      </c>
      <c r="AU47" s="82">
        <f>AO47+AT47</f>
        <v>-28</v>
      </c>
      <c r="AV47" s="77">
        <v>160</v>
      </c>
      <c r="AW47" s="77">
        <v>160</v>
      </c>
      <c r="AX47" s="77"/>
      <c r="AY47" s="77">
        <f>AW47+AX47</f>
        <v>160</v>
      </c>
      <c r="AZ47" s="77">
        <f>AV47-AY47</f>
        <v>0</v>
      </c>
      <c r="BA47" s="77">
        <f>AU47+AZ47</f>
        <v>-28</v>
      </c>
      <c r="BB47" s="58">
        <v>160</v>
      </c>
      <c r="BC47" s="58"/>
      <c r="BD47" s="58"/>
      <c r="BE47" s="58">
        <v>0</v>
      </c>
      <c r="BF47" s="58">
        <v>160</v>
      </c>
      <c r="BG47" s="58">
        <v>960</v>
      </c>
      <c r="BH47" s="77">
        <v>160</v>
      </c>
      <c r="BI47" s="77"/>
      <c r="BJ47" s="77"/>
      <c r="BK47" s="77">
        <v>0</v>
      </c>
      <c r="BL47" s="77">
        <v>160</v>
      </c>
      <c r="BM47" s="77">
        <v>960</v>
      </c>
      <c r="BN47" s="80">
        <v>160</v>
      </c>
      <c r="BO47" s="80"/>
      <c r="BP47" s="80"/>
      <c r="BQ47" s="80">
        <v>0</v>
      </c>
      <c r="BR47" s="80">
        <v>160</v>
      </c>
      <c r="BS47" s="80">
        <v>960</v>
      </c>
    </row>
    <row r="48" spans="1:71">
      <c r="A48" s="17" t="s">
        <v>63</v>
      </c>
      <c r="B48" s="17" t="s">
        <v>78</v>
      </c>
      <c r="C48" s="18">
        <v>34561607</v>
      </c>
      <c r="D48" s="19">
        <v>46055</v>
      </c>
      <c r="E48" s="35">
        <v>46368</v>
      </c>
      <c r="F48" s="40">
        <f>(DAY(D48)-30-1)*-1</f>
        <v>29</v>
      </c>
      <c r="G48" s="41">
        <v>152</v>
      </c>
      <c r="H48" s="32">
        <v>128</v>
      </c>
      <c r="I48" s="32">
        <v>24</v>
      </c>
      <c r="J48" s="32">
        <f>H48+I48</f>
        <v>152</v>
      </c>
      <c r="K48" s="42">
        <f>G48-J48</f>
        <v>0</v>
      </c>
      <c r="L48" s="58">
        <v>160</v>
      </c>
      <c r="M48" s="58">
        <v>160</v>
      </c>
      <c r="N48" s="58">
        <v>8</v>
      </c>
      <c r="O48" s="58">
        <f>M48+N48</f>
        <v>168</v>
      </c>
      <c r="P48" s="58">
        <f>L48-O48</f>
        <v>-8</v>
      </c>
      <c r="Q48" s="65">
        <f>K48+P48</f>
        <v>-8</v>
      </c>
      <c r="R48" s="61">
        <v>160</v>
      </c>
      <c r="S48" s="61">
        <v>160</v>
      </c>
      <c r="T48" s="61">
        <v>8</v>
      </c>
      <c r="U48" s="61">
        <f>S48+T48</f>
        <v>168</v>
      </c>
      <c r="V48" s="61">
        <f>R48-U48</f>
        <v>-8</v>
      </c>
      <c r="W48" s="72">
        <f>Q48+V48</f>
        <v>-16</v>
      </c>
      <c r="X48" s="70">
        <v>160</v>
      </c>
      <c r="Y48" s="70">
        <v>160</v>
      </c>
      <c r="Z48" s="70"/>
      <c r="AA48" s="70">
        <f>Y48+Z48</f>
        <v>160</v>
      </c>
      <c r="AB48" s="70">
        <f>X48-AA48</f>
        <v>0</v>
      </c>
      <c r="AC48" s="73">
        <f>W48+AB48</f>
        <v>-16</v>
      </c>
      <c r="AD48" s="77">
        <v>160</v>
      </c>
      <c r="AE48" s="77">
        <v>160</v>
      </c>
      <c r="AF48" s="77"/>
      <c r="AG48" s="77">
        <f>AE48+AF48</f>
        <v>160</v>
      </c>
      <c r="AH48" s="77">
        <f>AD48-AG48</f>
        <v>0</v>
      </c>
      <c r="AI48" s="84">
        <f>AC48+AH48</f>
        <v>-16</v>
      </c>
      <c r="AJ48" s="80">
        <v>160</v>
      </c>
      <c r="AK48" s="80">
        <v>160</v>
      </c>
      <c r="AL48" s="80"/>
      <c r="AM48" s="80">
        <f>AK48+AL48</f>
        <v>160</v>
      </c>
      <c r="AN48" s="80">
        <f>AJ48-AM48</f>
        <v>0</v>
      </c>
      <c r="AO48" s="80">
        <f>AI48+AN48</f>
        <v>-16</v>
      </c>
      <c r="AP48" s="82">
        <v>160</v>
      </c>
      <c r="AQ48" s="82">
        <v>160</v>
      </c>
      <c r="AR48" s="82"/>
      <c r="AS48" s="82">
        <f>AQ48+AR48</f>
        <v>160</v>
      </c>
      <c r="AT48" s="82">
        <f>AP48-AS48</f>
        <v>0</v>
      </c>
      <c r="AU48" s="82">
        <f>AO48+AT48</f>
        <v>-16</v>
      </c>
      <c r="AV48" s="77">
        <v>160</v>
      </c>
      <c r="AW48" s="77">
        <v>160</v>
      </c>
      <c r="AX48" s="77"/>
      <c r="AY48" s="77">
        <f>AW48+AX48</f>
        <v>160</v>
      </c>
      <c r="AZ48" s="77">
        <f>AV48-AY48</f>
        <v>0</v>
      </c>
      <c r="BA48" s="77">
        <f>AU48+AZ48</f>
        <v>-16</v>
      </c>
      <c r="BB48" s="58">
        <v>160</v>
      </c>
      <c r="BC48" s="58"/>
      <c r="BD48" s="58"/>
      <c r="BE48" s="58">
        <v>0</v>
      </c>
      <c r="BF48" s="58">
        <v>160</v>
      </c>
      <c r="BG48" s="58">
        <v>960</v>
      </c>
      <c r="BH48" s="77">
        <v>160</v>
      </c>
      <c r="BI48" s="77"/>
      <c r="BJ48" s="77"/>
      <c r="BK48" s="77">
        <v>0</v>
      </c>
      <c r="BL48" s="77">
        <v>160</v>
      </c>
      <c r="BM48" s="77">
        <v>960</v>
      </c>
      <c r="BN48" s="80">
        <v>160</v>
      </c>
      <c r="BO48" s="80"/>
      <c r="BP48" s="80"/>
      <c r="BQ48" s="80">
        <v>0</v>
      </c>
      <c r="BR48" s="80">
        <v>160</v>
      </c>
      <c r="BS48" s="80">
        <v>960</v>
      </c>
    </row>
    <row r="49" spans="1:71">
      <c r="A49" s="17" t="s">
        <v>63</v>
      </c>
      <c r="B49" s="17" t="s">
        <v>79</v>
      </c>
      <c r="C49" s="18">
        <v>1061690866</v>
      </c>
      <c r="D49" s="19">
        <v>46055</v>
      </c>
      <c r="E49" s="35">
        <v>46368</v>
      </c>
      <c r="F49" s="40">
        <f>(DAY(D49)-30-1)*-1</f>
        <v>29</v>
      </c>
      <c r="G49" s="41">
        <v>152</v>
      </c>
      <c r="H49" s="32">
        <v>140</v>
      </c>
      <c r="I49" s="32">
        <v>12</v>
      </c>
      <c r="J49" s="32">
        <f>H49+I49</f>
        <v>152</v>
      </c>
      <c r="K49" s="42">
        <f>G49-J49</f>
        <v>0</v>
      </c>
      <c r="L49" s="58">
        <v>160</v>
      </c>
      <c r="M49" s="58">
        <v>160</v>
      </c>
      <c r="N49" s="58">
        <v>8</v>
      </c>
      <c r="O49" s="58">
        <f>M49+N49</f>
        <v>168</v>
      </c>
      <c r="P49" s="58">
        <f>L49-O49</f>
        <v>-8</v>
      </c>
      <c r="Q49" s="65">
        <f>K49+P49</f>
        <v>-8</v>
      </c>
      <c r="R49" s="61">
        <v>160</v>
      </c>
      <c r="S49" s="61">
        <v>160</v>
      </c>
      <c r="T49" s="61">
        <v>8</v>
      </c>
      <c r="U49" s="61">
        <f>S49+T49</f>
        <v>168</v>
      </c>
      <c r="V49" s="61">
        <f>R49-U49</f>
        <v>-8</v>
      </c>
      <c r="W49" s="72">
        <f>Q49+V49</f>
        <v>-16</v>
      </c>
      <c r="X49" s="70">
        <v>160</v>
      </c>
      <c r="Y49" s="70">
        <v>160</v>
      </c>
      <c r="Z49" s="70"/>
      <c r="AA49" s="70">
        <f>Y49+Z49</f>
        <v>160</v>
      </c>
      <c r="AB49" s="70">
        <f>X49-AA49</f>
        <v>0</v>
      </c>
      <c r="AC49" s="73">
        <f>W49+AB49</f>
        <v>-16</v>
      </c>
      <c r="AD49" s="77">
        <v>160</v>
      </c>
      <c r="AE49" s="77">
        <v>160</v>
      </c>
      <c r="AF49" s="77"/>
      <c r="AG49" s="77">
        <f>AE49+AF49</f>
        <v>160</v>
      </c>
      <c r="AH49" s="77">
        <f>AD49-AG49</f>
        <v>0</v>
      </c>
      <c r="AI49" s="84">
        <f>AC49+AH49</f>
        <v>-16</v>
      </c>
      <c r="AJ49" s="80">
        <v>160</v>
      </c>
      <c r="AK49" s="80">
        <v>160</v>
      </c>
      <c r="AL49" s="80"/>
      <c r="AM49" s="80">
        <f>AK49+AL49</f>
        <v>160</v>
      </c>
      <c r="AN49" s="80">
        <f>AJ49-AM49</f>
        <v>0</v>
      </c>
      <c r="AO49" s="80">
        <f>AI49+AN49</f>
        <v>-16</v>
      </c>
      <c r="AP49" s="82">
        <v>160</v>
      </c>
      <c r="AQ49" s="82">
        <v>180</v>
      </c>
      <c r="AR49" s="82"/>
      <c r="AS49" s="82">
        <f>AQ49+AR49</f>
        <v>180</v>
      </c>
      <c r="AT49" s="82">
        <f>AP49-AS49</f>
        <v>-20</v>
      </c>
      <c r="AU49" s="82">
        <f>AO49+AT49</f>
        <v>-36</v>
      </c>
      <c r="AV49" s="77">
        <v>160</v>
      </c>
      <c r="AW49" s="77">
        <v>186</v>
      </c>
      <c r="AX49" s="77"/>
      <c r="AY49" s="77">
        <f>AW49+AX49</f>
        <v>186</v>
      </c>
      <c r="AZ49" s="77">
        <f>AV49-AY49</f>
        <v>-26</v>
      </c>
      <c r="BA49" s="77">
        <f>AU49+AZ49</f>
        <v>-62</v>
      </c>
      <c r="BB49" s="58">
        <v>160</v>
      </c>
      <c r="BC49" s="58"/>
      <c r="BD49" s="58"/>
      <c r="BE49" s="58">
        <v>0</v>
      </c>
      <c r="BF49" s="58">
        <v>160</v>
      </c>
      <c r="BG49" s="58">
        <v>960</v>
      </c>
      <c r="BH49" s="77">
        <v>160</v>
      </c>
      <c r="BI49" s="77"/>
      <c r="BJ49" s="77"/>
      <c r="BK49" s="77">
        <v>0</v>
      </c>
      <c r="BL49" s="77">
        <v>160</v>
      </c>
      <c r="BM49" s="77">
        <v>960</v>
      </c>
      <c r="BN49" s="80">
        <v>160</v>
      </c>
      <c r="BO49" s="80"/>
      <c r="BP49" s="80"/>
      <c r="BQ49" s="80">
        <v>0</v>
      </c>
      <c r="BR49" s="80">
        <v>160</v>
      </c>
      <c r="BS49" s="80">
        <v>960</v>
      </c>
    </row>
    <row r="50" spans="1:71">
      <c r="A50" s="17" t="s">
        <v>63</v>
      </c>
      <c r="B50" s="17" t="s">
        <v>80</v>
      </c>
      <c r="C50" s="18">
        <v>98390095</v>
      </c>
      <c r="D50" s="19">
        <v>46055</v>
      </c>
      <c r="E50" s="35">
        <v>46368</v>
      </c>
      <c r="F50" s="40">
        <f>(DAY(D50)-30-1)*-1</f>
        <v>29</v>
      </c>
      <c r="G50" s="41">
        <v>152</v>
      </c>
      <c r="H50" s="32">
        <v>128</v>
      </c>
      <c r="I50" s="32">
        <v>24</v>
      </c>
      <c r="J50" s="32">
        <f>H50+I50</f>
        <v>152</v>
      </c>
      <c r="K50" s="42">
        <f>G50-J50</f>
        <v>0</v>
      </c>
      <c r="L50" s="58">
        <v>160</v>
      </c>
      <c r="M50" s="64">
        <v>160</v>
      </c>
      <c r="N50" s="58">
        <v>8</v>
      </c>
      <c r="O50" s="58">
        <f>M50+N50</f>
        <v>168</v>
      </c>
      <c r="P50" s="58">
        <f>L50-O50</f>
        <v>-8</v>
      </c>
      <c r="Q50" s="65">
        <f>K50+P50</f>
        <v>-8</v>
      </c>
      <c r="R50" s="61">
        <v>160</v>
      </c>
      <c r="S50" s="61">
        <v>156</v>
      </c>
      <c r="T50" s="61">
        <v>8</v>
      </c>
      <c r="U50" s="61">
        <f>S50+T50</f>
        <v>164</v>
      </c>
      <c r="V50" s="61">
        <f>R50-U50</f>
        <v>-4</v>
      </c>
      <c r="W50" s="72">
        <f>Q50+V50</f>
        <v>-12</v>
      </c>
      <c r="X50" s="70">
        <v>160</v>
      </c>
      <c r="Y50" s="70">
        <v>160</v>
      </c>
      <c r="Z50" s="70"/>
      <c r="AA50" s="70">
        <f>Y50+Z50</f>
        <v>160</v>
      </c>
      <c r="AB50" s="70">
        <f>X50-AA50</f>
        <v>0</v>
      </c>
      <c r="AC50" s="73">
        <f>W50+AB50</f>
        <v>-12</v>
      </c>
      <c r="AD50" s="77">
        <v>160</v>
      </c>
      <c r="AE50" s="77">
        <v>152</v>
      </c>
      <c r="AF50" s="77"/>
      <c r="AG50" s="77">
        <f>AE50+AF50</f>
        <v>152</v>
      </c>
      <c r="AH50" s="77">
        <f>AD50-AG50</f>
        <v>8</v>
      </c>
      <c r="AI50" s="84">
        <f>AC50+AH50</f>
        <v>-4</v>
      </c>
      <c r="AJ50" s="80">
        <v>160</v>
      </c>
      <c r="AK50" s="80">
        <v>168</v>
      </c>
      <c r="AL50" s="80"/>
      <c r="AM50" s="80">
        <f>AK50+AL50</f>
        <v>168</v>
      </c>
      <c r="AN50" s="80">
        <f>AJ50-AM50</f>
        <v>-8</v>
      </c>
      <c r="AO50" s="80">
        <f>AI50+AN50</f>
        <v>-12</v>
      </c>
      <c r="AP50" s="82">
        <v>160</v>
      </c>
      <c r="AQ50" s="82">
        <v>168</v>
      </c>
      <c r="AR50" s="82"/>
      <c r="AS50" s="82">
        <f>AQ50+AR50</f>
        <v>168</v>
      </c>
      <c r="AT50" s="82">
        <f>AP50-AS50</f>
        <v>-8</v>
      </c>
      <c r="AU50" s="82">
        <f>AO50+AT50</f>
        <v>-20</v>
      </c>
      <c r="AV50" s="77">
        <v>160</v>
      </c>
      <c r="AW50" s="77">
        <v>168</v>
      </c>
      <c r="AX50" s="77"/>
      <c r="AY50" s="77">
        <f>AW50+AX50</f>
        <v>168</v>
      </c>
      <c r="AZ50" s="77">
        <f>AV50-AY50</f>
        <v>-8</v>
      </c>
      <c r="BA50" s="77">
        <f>AU50+AZ50</f>
        <v>-28</v>
      </c>
      <c r="BB50" s="58">
        <v>160</v>
      </c>
      <c r="BC50" s="58"/>
      <c r="BD50" s="58"/>
      <c r="BE50" s="58">
        <v>0</v>
      </c>
      <c r="BF50" s="58">
        <v>160</v>
      </c>
      <c r="BG50" s="58">
        <v>960</v>
      </c>
      <c r="BH50" s="77">
        <v>160</v>
      </c>
      <c r="BI50" s="77"/>
      <c r="BJ50" s="77"/>
      <c r="BK50" s="77">
        <v>0</v>
      </c>
      <c r="BL50" s="77">
        <v>160</v>
      </c>
      <c r="BM50" s="77">
        <v>960</v>
      </c>
      <c r="BN50" s="80">
        <v>160</v>
      </c>
      <c r="BO50" s="80"/>
      <c r="BP50" s="80"/>
      <c r="BQ50" s="80">
        <v>0</v>
      </c>
      <c r="BR50" s="80">
        <v>160</v>
      </c>
      <c r="BS50" s="80">
        <v>960</v>
      </c>
    </row>
    <row r="51" spans="1:71">
      <c r="A51" s="17" t="s">
        <v>63</v>
      </c>
      <c r="B51" s="17" t="s">
        <v>81</v>
      </c>
      <c r="C51" s="18">
        <v>1061718303</v>
      </c>
      <c r="D51" s="19">
        <v>46055</v>
      </c>
      <c r="E51" s="35">
        <v>46368</v>
      </c>
      <c r="F51" s="40">
        <f>(DAY(D51)-30-1)*-1</f>
        <v>29</v>
      </c>
      <c r="G51" s="41">
        <v>152</v>
      </c>
      <c r="H51" s="32">
        <v>144</v>
      </c>
      <c r="I51" s="32">
        <v>8</v>
      </c>
      <c r="J51" s="32">
        <f>H51+I51</f>
        <v>152</v>
      </c>
      <c r="K51" s="42">
        <f>G51-J51</f>
        <v>0</v>
      </c>
      <c r="L51" s="58">
        <v>160</v>
      </c>
      <c r="M51" s="63">
        <v>160</v>
      </c>
      <c r="N51" s="58">
        <v>0</v>
      </c>
      <c r="O51" s="58">
        <f>M51+N51</f>
        <v>160</v>
      </c>
      <c r="P51" s="58">
        <f>L51-O51</f>
        <v>0</v>
      </c>
      <c r="Q51" s="65">
        <f>K51+P51</f>
        <v>0</v>
      </c>
      <c r="R51" s="61">
        <v>160</v>
      </c>
      <c r="S51" s="61">
        <v>160</v>
      </c>
      <c r="T51" s="61">
        <v>8</v>
      </c>
      <c r="U51" s="61">
        <f>S51+T51</f>
        <v>168</v>
      </c>
      <c r="V51" s="61">
        <f>R51-U51</f>
        <v>-8</v>
      </c>
      <c r="W51" s="72">
        <f>Q51+V51</f>
        <v>-8</v>
      </c>
      <c r="X51" s="70">
        <v>160</v>
      </c>
      <c r="Y51" s="70">
        <v>160</v>
      </c>
      <c r="Z51" s="70"/>
      <c r="AA51" s="70">
        <f>Y51+Z51</f>
        <v>160</v>
      </c>
      <c r="AB51" s="70">
        <f>X51-AA51</f>
        <v>0</v>
      </c>
      <c r="AC51" s="73">
        <f>W51+AB51</f>
        <v>-8</v>
      </c>
      <c r="AD51" s="77">
        <v>160</v>
      </c>
      <c r="AE51" s="77">
        <v>160</v>
      </c>
      <c r="AF51" s="77"/>
      <c r="AG51" s="77">
        <f>AE51+AF51</f>
        <v>160</v>
      </c>
      <c r="AH51" s="77">
        <f>AD51-AG51</f>
        <v>0</v>
      </c>
      <c r="AI51" s="84">
        <f>AC51+AH51</f>
        <v>-8</v>
      </c>
      <c r="AJ51" s="80">
        <v>160</v>
      </c>
      <c r="AK51" s="80">
        <v>160</v>
      </c>
      <c r="AL51" s="80"/>
      <c r="AM51" s="80">
        <f>AK51+AL51</f>
        <v>160</v>
      </c>
      <c r="AN51" s="80">
        <f>AJ51-AM51</f>
        <v>0</v>
      </c>
      <c r="AO51" s="80">
        <f>AI51+AN51</f>
        <v>-8</v>
      </c>
      <c r="AP51" s="82">
        <v>160</v>
      </c>
      <c r="AQ51" s="82">
        <v>168</v>
      </c>
      <c r="AR51" s="82"/>
      <c r="AS51" s="82">
        <f>AQ51+AR51</f>
        <v>168</v>
      </c>
      <c r="AT51" s="82">
        <f>AP51-AS51</f>
        <v>-8</v>
      </c>
      <c r="AU51" s="82">
        <f>AO51+AT51</f>
        <v>-16</v>
      </c>
      <c r="AV51" s="77">
        <v>160</v>
      </c>
      <c r="AW51" s="77">
        <v>160</v>
      </c>
      <c r="AX51" s="77"/>
      <c r="AY51" s="77">
        <f>AW51+AX51</f>
        <v>160</v>
      </c>
      <c r="AZ51" s="77">
        <f>AV51-AY51</f>
        <v>0</v>
      </c>
      <c r="BA51" s="77">
        <f>AU51+AZ51</f>
        <v>-16</v>
      </c>
      <c r="BB51" s="58">
        <v>160</v>
      </c>
      <c r="BC51" s="58"/>
      <c r="BD51" s="58"/>
      <c r="BE51" s="58">
        <v>0</v>
      </c>
      <c r="BF51" s="58">
        <v>160</v>
      </c>
      <c r="BG51" s="58">
        <v>960</v>
      </c>
      <c r="BH51" s="77">
        <v>160</v>
      </c>
      <c r="BI51" s="77"/>
      <c r="BJ51" s="77"/>
      <c r="BK51" s="77">
        <v>0</v>
      </c>
      <c r="BL51" s="77">
        <v>160</v>
      </c>
      <c r="BM51" s="77">
        <v>960</v>
      </c>
      <c r="BN51" s="80">
        <v>160</v>
      </c>
      <c r="BO51" s="80"/>
      <c r="BP51" s="80"/>
      <c r="BQ51" s="80">
        <v>0</v>
      </c>
      <c r="BR51" s="80">
        <v>160</v>
      </c>
      <c r="BS51" s="80">
        <v>960</v>
      </c>
    </row>
    <row r="52" spans="1:71">
      <c r="A52" s="17" t="s">
        <v>63</v>
      </c>
      <c r="B52" s="17" t="s">
        <v>82</v>
      </c>
      <c r="C52" s="18">
        <v>31435188</v>
      </c>
      <c r="D52" s="19">
        <v>46055</v>
      </c>
      <c r="E52" s="35">
        <v>46368</v>
      </c>
      <c r="F52" s="40">
        <f>(DAY(D52)-30-1)*-1</f>
        <v>29</v>
      </c>
      <c r="G52" s="41">
        <v>152</v>
      </c>
      <c r="H52" s="32">
        <v>128</v>
      </c>
      <c r="I52" s="32">
        <v>24</v>
      </c>
      <c r="J52" s="32">
        <f>H52+I52</f>
        <v>152</v>
      </c>
      <c r="K52" s="42">
        <f>G52-J52</f>
        <v>0</v>
      </c>
      <c r="L52" s="58">
        <v>160</v>
      </c>
      <c r="M52" s="64">
        <v>160</v>
      </c>
      <c r="N52" s="58">
        <v>8</v>
      </c>
      <c r="O52" s="58">
        <f>M52+N52</f>
        <v>168</v>
      </c>
      <c r="P52" s="58">
        <f>L52-O52</f>
        <v>-8</v>
      </c>
      <c r="Q52" s="65">
        <f>K52+P52</f>
        <v>-8</v>
      </c>
      <c r="R52" s="61">
        <v>160</v>
      </c>
      <c r="S52" s="61">
        <v>160</v>
      </c>
      <c r="T52" s="61">
        <v>8</v>
      </c>
      <c r="U52" s="61">
        <f>S52+T52</f>
        <v>168</v>
      </c>
      <c r="V52" s="61">
        <f>R52-U52</f>
        <v>-8</v>
      </c>
      <c r="W52" s="72">
        <f>Q52+V52</f>
        <v>-16</v>
      </c>
      <c r="X52" s="70">
        <v>160</v>
      </c>
      <c r="Y52" s="70">
        <v>160</v>
      </c>
      <c r="Z52" s="70"/>
      <c r="AA52" s="70">
        <f>Y52+Z52</f>
        <v>160</v>
      </c>
      <c r="AB52" s="70">
        <f>X52-AA52</f>
        <v>0</v>
      </c>
      <c r="AC52" s="73">
        <f>W52+AB52</f>
        <v>-16</v>
      </c>
      <c r="AD52" s="77">
        <v>160</v>
      </c>
      <c r="AE52" s="77">
        <v>160</v>
      </c>
      <c r="AF52" s="77"/>
      <c r="AG52" s="77">
        <f>AE52+AF52</f>
        <v>160</v>
      </c>
      <c r="AH52" s="77">
        <f>AD52-AG52</f>
        <v>0</v>
      </c>
      <c r="AI52" s="84">
        <f>AC52+AH52</f>
        <v>-16</v>
      </c>
      <c r="AJ52" s="80">
        <v>160</v>
      </c>
      <c r="AK52" s="80">
        <v>160</v>
      </c>
      <c r="AL52" s="80"/>
      <c r="AM52" s="80">
        <f>AK52+AL52</f>
        <v>160</v>
      </c>
      <c r="AN52" s="80">
        <f>AJ52-AM52</f>
        <v>0</v>
      </c>
      <c r="AO52" s="80">
        <f>AI52+AN52</f>
        <v>-16</v>
      </c>
      <c r="AP52" s="82">
        <v>160</v>
      </c>
      <c r="AQ52" s="82">
        <v>160</v>
      </c>
      <c r="AR52" s="82"/>
      <c r="AS52" s="82">
        <f>AQ52+AR52</f>
        <v>160</v>
      </c>
      <c r="AT52" s="82">
        <f>AP52-AS52</f>
        <v>0</v>
      </c>
      <c r="AU52" s="82">
        <f>AO52+AT52</f>
        <v>-16</v>
      </c>
      <c r="AV52" s="77">
        <v>160</v>
      </c>
      <c r="AW52" s="77">
        <v>160</v>
      </c>
      <c r="AX52" s="77"/>
      <c r="AY52" s="77">
        <f>AW52+AX52</f>
        <v>160</v>
      </c>
      <c r="AZ52" s="77">
        <f>AV52-AY52</f>
        <v>0</v>
      </c>
      <c r="BA52" s="77">
        <f>AU52+AZ52</f>
        <v>-16</v>
      </c>
      <c r="BB52" s="58">
        <v>160</v>
      </c>
      <c r="BC52" s="58"/>
      <c r="BD52" s="58"/>
      <c r="BE52" s="58">
        <v>0</v>
      </c>
      <c r="BF52" s="58">
        <v>160</v>
      </c>
      <c r="BG52" s="58">
        <v>960</v>
      </c>
      <c r="BH52" s="77">
        <v>160</v>
      </c>
      <c r="BI52" s="77"/>
      <c r="BJ52" s="77"/>
      <c r="BK52" s="77">
        <v>0</v>
      </c>
      <c r="BL52" s="77">
        <v>160</v>
      </c>
      <c r="BM52" s="77">
        <v>960</v>
      </c>
      <c r="BN52" s="80">
        <v>160</v>
      </c>
      <c r="BO52" s="80"/>
      <c r="BP52" s="80"/>
      <c r="BQ52" s="80">
        <v>0</v>
      </c>
      <c r="BR52" s="80">
        <v>160</v>
      </c>
      <c r="BS52" s="80">
        <v>960</v>
      </c>
    </row>
    <row r="53" spans="1:71">
      <c r="A53" s="17" t="s">
        <v>63</v>
      </c>
      <c r="B53" s="17" t="s">
        <v>83</v>
      </c>
      <c r="C53" s="18">
        <v>1061755374</v>
      </c>
      <c r="D53" s="19">
        <v>46055</v>
      </c>
      <c r="E53" s="35">
        <v>46368</v>
      </c>
      <c r="F53" s="40">
        <f>(DAY(D53)-30-1)*-1</f>
        <v>29</v>
      </c>
      <c r="G53" s="41">
        <v>152</v>
      </c>
      <c r="H53" s="32">
        <v>136</v>
      </c>
      <c r="I53" s="32">
        <v>16</v>
      </c>
      <c r="J53" s="32">
        <f>H53+I53</f>
        <v>152</v>
      </c>
      <c r="K53" s="42">
        <f>G53-J53</f>
        <v>0</v>
      </c>
      <c r="L53" s="58">
        <v>160</v>
      </c>
      <c r="M53" s="64">
        <v>164</v>
      </c>
      <c r="N53" s="58">
        <v>8</v>
      </c>
      <c r="O53" s="58">
        <f>M53+N53</f>
        <v>172</v>
      </c>
      <c r="P53" s="58">
        <f>L53-O53</f>
        <v>-12</v>
      </c>
      <c r="Q53" s="65">
        <f>K53+P53</f>
        <v>-12</v>
      </c>
      <c r="R53" s="61">
        <v>160</v>
      </c>
      <c r="S53" s="61">
        <v>148</v>
      </c>
      <c r="T53" s="61">
        <v>8</v>
      </c>
      <c r="U53" s="61">
        <f>S53+T53</f>
        <v>156</v>
      </c>
      <c r="V53" s="61">
        <f>R53-U53</f>
        <v>4</v>
      </c>
      <c r="W53" s="72">
        <f>Q53+V53</f>
        <v>-8</v>
      </c>
      <c r="X53" s="70">
        <v>160</v>
      </c>
      <c r="Y53" s="70">
        <v>160</v>
      </c>
      <c r="Z53" s="70"/>
      <c r="AA53" s="70">
        <f>Y53+Z53</f>
        <v>160</v>
      </c>
      <c r="AB53" s="70">
        <f>X53-AA53</f>
        <v>0</v>
      </c>
      <c r="AC53" s="73">
        <f>W53+AB53</f>
        <v>-8</v>
      </c>
      <c r="AD53" s="77">
        <v>160</v>
      </c>
      <c r="AE53" s="77">
        <v>160</v>
      </c>
      <c r="AF53" s="77"/>
      <c r="AG53" s="77">
        <f>AE53+AF53</f>
        <v>160</v>
      </c>
      <c r="AH53" s="77">
        <f>AD53-AG53</f>
        <v>0</v>
      </c>
      <c r="AI53" s="84">
        <f>AC53+AH53</f>
        <v>-8</v>
      </c>
      <c r="AJ53" s="80">
        <v>160</v>
      </c>
      <c r="AK53" s="80">
        <v>176</v>
      </c>
      <c r="AL53" s="80"/>
      <c r="AM53" s="80">
        <f>AK53+AL53</f>
        <v>176</v>
      </c>
      <c r="AN53" s="80">
        <f>AJ53-AM53</f>
        <v>-16</v>
      </c>
      <c r="AO53" s="80">
        <f>AI53+AN53</f>
        <v>-24</v>
      </c>
      <c r="AP53" s="82">
        <v>160</v>
      </c>
      <c r="AQ53" s="82">
        <v>148</v>
      </c>
      <c r="AR53" s="82"/>
      <c r="AS53" s="82">
        <f>AQ53+AR53</f>
        <v>148</v>
      </c>
      <c r="AT53" s="82">
        <f>AP53-AS53</f>
        <v>12</v>
      </c>
      <c r="AU53" s="82">
        <f>AO53+AT53</f>
        <v>-12</v>
      </c>
      <c r="AV53" s="77">
        <v>160</v>
      </c>
      <c r="AW53" s="77">
        <v>163</v>
      </c>
      <c r="AX53" s="77"/>
      <c r="AY53" s="77">
        <f>AW53+AX53</f>
        <v>163</v>
      </c>
      <c r="AZ53" s="77">
        <f>AV53-AY53</f>
        <v>-3</v>
      </c>
      <c r="BA53" s="77">
        <f>AU53+AZ53</f>
        <v>-15</v>
      </c>
      <c r="BB53" s="58">
        <v>160</v>
      </c>
      <c r="BC53" s="58"/>
      <c r="BD53" s="58"/>
      <c r="BE53" s="58">
        <v>0</v>
      </c>
      <c r="BF53" s="58">
        <v>160</v>
      </c>
      <c r="BG53" s="58">
        <v>960</v>
      </c>
      <c r="BH53" s="77">
        <v>160</v>
      </c>
      <c r="BI53" s="77"/>
      <c r="BJ53" s="77"/>
      <c r="BK53" s="77">
        <v>0</v>
      </c>
      <c r="BL53" s="77">
        <v>160</v>
      </c>
      <c r="BM53" s="77">
        <v>960</v>
      </c>
      <c r="BN53" s="80">
        <v>160</v>
      </c>
      <c r="BO53" s="80"/>
      <c r="BP53" s="80"/>
      <c r="BQ53" s="80">
        <v>0</v>
      </c>
      <c r="BR53" s="80">
        <v>160</v>
      </c>
      <c r="BS53" s="80">
        <v>960</v>
      </c>
    </row>
    <row r="54" spans="1:71">
      <c r="A54" s="17" t="s">
        <v>63</v>
      </c>
      <c r="B54" s="17" t="s">
        <v>84</v>
      </c>
      <c r="C54" s="18">
        <v>68294463</v>
      </c>
      <c r="D54" s="19">
        <v>46296</v>
      </c>
      <c r="E54" s="35">
        <v>46371</v>
      </c>
      <c r="F54" s="40"/>
      <c r="G54" s="41"/>
      <c r="H54" s="32"/>
      <c r="I54" s="32"/>
      <c r="J54" s="32"/>
      <c r="K54" s="42"/>
      <c r="L54" s="58"/>
      <c r="M54" s="64"/>
      <c r="N54" s="58"/>
      <c r="O54" s="58"/>
      <c r="P54" s="58"/>
      <c r="Q54" s="65"/>
      <c r="R54" s="61"/>
      <c r="S54" s="61"/>
      <c r="T54" s="61"/>
      <c r="U54" s="61"/>
      <c r="V54" s="61"/>
      <c r="W54" s="72"/>
      <c r="X54" s="70"/>
      <c r="Y54" s="70"/>
      <c r="Z54" s="70"/>
      <c r="AA54" s="70"/>
      <c r="AB54" s="70"/>
      <c r="AC54" s="73"/>
      <c r="AD54" s="77"/>
      <c r="AE54" s="77"/>
      <c r="AF54" s="77"/>
      <c r="AG54" s="77"/>
      <c r="AH54" s="77"/>
      <c r="AI54" s="84"/>
      <c r="AJ54" s="80"/>
      <c r="AK54" s="80"/>
      <c r="AL54" s="80"/>
      <c r="AM54" s="80"/>
      <c r="AN54" s="80"/>
      <c r="AO54" s="80"/>
      <c r="AP54" s="82"/>
      <c r="AQ54" s="82"/>
      <c r="AR54" s="82"/>
      <c r="AS54" s="82"/>
      <c r="AT54" s="82"/>
      <c r="AU54" s="82"/>
      <c r="AV54" s="77"/>
      <c r="AW54" s="77"/>
      <c r="AX54" s="77"/>
      <c r="AY54" s="77"/>
      <c r="AZ54" s="77"/>
      <c r="BA54" s="77"/>
      <c r="BB54" s="58"/>
      <c r="BC54" s="58"/>
      <c r="BD54" s="58"/>
      <c r="BE54" s="58"/>
      <c r="BF54" s="58"/>
      <c r="BG54" s="58"/>
      <c r="BH54" s="77"/>
      <c r="BI54" s="77"/>
      <c r="BJ54" s="77"/>
      <c r="BK54" s="77"/>
      <c r="BL54" s="77"/>
      <c r="BM54" s="77"/>
      <c r="BN54" s="80"/>
      <c r="BO54" s="80"/>
      <c r="BP54" s="80"/>
      <c r="BQ54" s="80"/>
      <c r="BR54" s="80"/>
      <c r="BS54" s="80"/>
    </row>
    <row r="55" spans="1:71">
      <c r="A55" s="17" t="s">
        <v>63</v>
      </c>
      <c r="B55" s="17" t="s">
        <v>85</v>
      </c>
      <c r="C55" s="18">
        <v>75082087</v>
      </c>
      <c r="D55" s="19">
        <v>46296</v>
      </c>
      <c r="E55" s="35">
        <v>46371</v>
      </c>
      <c r="F55" s="40"/>
      <c r="G55" s="41"/>
      <c r="H55" s="32"/>
      <c r="I55" s="32"/>
      <c r="J55" s="32"/>
      <c r="K55" s="42"/>
      <c r="L55" s="58"/>
      <c r="M55" s="64"/>
      <c r="N55" s="58"/>
      <c r="O55" s="58"/>
      <c r="P55" s="58"/>
      <c r="Q55" s="65"/>
      <c r="R55" s="61"/>
      <c r="S55" s="61"/>
      <c r="T55" s="61"/>
      <c r="U55" s="61"/>
      <c r="V55" s="61"/>
      <c r="W55" s="72"/>
      <c r="X55" s="70"/>
      <c r="Y55" s="70"/>
      <c r="Z55" s="70"/>
      <c r="AA55" s="70"/>
      <c r="AB55" s="70"/>
      <c r="AC55" s="73"/>
      <c r="AD55" s="77"/>
      <c r="AE55" s="77"/>
      <c r="AF55" s="77"/>
      <c r="AG55" s="77"/>
      <c r="AH55" s="77"/>
      <c r="AI55" s="84"/>
      <c r="AJ55" s="80"/>
      <c r="AK55" s="80"/>
      <c r="AL55" s="80"/>
      <c r="AM55" s="80"/>
      <c r="AN55" s="80"/>
      <c r="AO55" s="80"/>
      <c r="AP55" s="82"/>
      <c r="AQ55" s="82"/>
      <c r="AR55" s="82"/>
      <c r="AS55" s="82"/>
      <c r="AT55" s="82"/>
      <c r="AU55" s="82"/>
      <c r="AV55" s="77"/>
      <c r="AW55" s="77"/>
      <c r="AX55" s="77"/>
      <c r="AY55" s="77"/>
      <c r="AZ55" s="77"/>
      <c r="BA55" s="77"/>
      <c r="BB55" s="58"/>
      <c r="BC55" s="58"/>
      <c r="BD55" s="58"/>
      <c r="BE55" s="58"/>
      <c r="BF55" s="58"/>
      <c r="BG55" s="58"/>
      <c r="BH55" s="77"/>
      <c r="BI55" s="77"/>
      <c r="BJ55" s="77"/>
      <c r="BK55" s="77"/>
      <c r="BL55" s="77"/>
      <c r="BM55" s="77"/>
      <c r="BN55" s="80"/>
      <c r="BO55" s="80"/>
      <c r="BP55" s="80"/>
      <c r="BQ55" s="80"/>
      <c r="BR55" s="80"/>
      <c r="BS55" s="80"/>
    </row>
    <row r="56" spans="1:71">
      <c r="A56" s="17" t="s">
        <v>63</v>
      </c>
      <c r="B56" s="17" t="s">
        <v>86</v>
      </c>
      <c r="C56" s="18">
        <v>4611435</v>
      </c>
      <c r="D56" s="19">
        <v>46296</v>
      </c>
      <c r="E56" s="35">
        <v>46371</v>
      </c>
      <c r="F56" s="40"/>
      <c r="G56" s="41"/>
      <c r="H56" s="32"/>
      <c r="I56" s="32"/>
      <c r="J56" s="32"/>
      <c r="K56" s="42"/>
      <c r="L56" s="58"/>
      <c r="M56" s="64"/>
      <c r="N56" s="58"/>
      <c r="O56" s="58"/>
      <c r="P56" s="58"/>
      <c r="Q56" s="65"/>
      <c r="R56" s="61"/>
      <c r="S56" s="61"/>
      <c r="T56" s="61"/>
      <c r="U56" s="61"/>
      <c r="V56" s="61"/>
      <c r="W56" s="72"/>
      <c r="X56" s="70"/>
      <c r="Y56" s="70"/>
      <c r="Z56" s="70"/>
      <c r="AA56" s="70"/>
      <c r="AB56" s="70"/>
      <c r="AC56" s="73"/>
      <c r="AD56" s="77"/>
      <c r="AE56" s="77"/>
      <c r="AF56" s="77"/>
      <c r="AG56" s="77"/>
      <c r="AH56" s="77"/>
      <c r="AI56" s="84"/>
      <c r="AJ56" s="80"/>
      <c r="AK56" s="80"/>
      <c r="AL56" s="80"/>
      <c r="AM56" s="80"/>
      <c r="AN56" s="80"/>
      <c r="AO56" s="80"/>
      <c r="AP56" s="82"/>
      <c r="AQ56" s="82"/>
      <c r="AR56" s="82"/>
      <c r="AS56" s="82"/>
      <c r="AT56" s="82"/>
      <c r="AU56" s="82"/>
      <c r="AV56" s="77"/>
      <c r="AW56" s="77"/>
      <c r="AX56" s="77"/>
      <c r="AY56" s="77"/>
      <c r="AZ56" s="77"/>
      <c r="BA56" s="77"/>
      <c r="BB56" s="58">
        <v>160</v>
      </c>
      <c r="BC56" s="58"/>
      <c r="BD56" s="58"/>
      <c r="BE56" s="58"/>
      <c r="BF56" s="58"/>
      <c r="BG56" s="58"/>
      <c r="BH56" s="77"/>
      <c r="BI56" s="77"/>
      <c r="BJ56" s="77"/>
      <c r="BK56" s="77"/>
      <c r="BL56" s="77"/>
      <c r="BM56" s="77"/>
      <c r="BN56" s="80"/>
      <c r="BO56" s="80"/>
      <c r="BP56" s="80"/>
      <c r="BQ56" s="80"/>
      <c r="BR56" s="80"/>
      <c r="BS56" s="80"/>
    </row>
    <row r="57" spans="1:71">
      <c r="A57" s="17" t="s">
        <v>63</v>
      </c>
      <c r="B57" s="17" t="s">
        <v>87</v>
      </c>
      <c r="C57" s="18">
        <v>1061729510</v>
      </c>
      <c r="D57" s="19">
        <v>46055</v>
      </c>
      <c r="E57" s="35">
        <v>46368</v>
      </c>
      <c r="F57" s="40">
        <f>(DAY(D57)-30-1)*-1</f>
        <v>29</v>
      </c>
      <c r="G57" s="41">
        <v>152</v>
      </c>
      <c r="H57" s="32">
        <v>128</v>
      </c>
      <c r="I57" s="32">
        <v>24</v>
      </c>
      <c r="J57" s="32">
        <f>H57+I57</f>
        <v>152</v>
      </c>
      <c r="K57" s="42">
        <f>G57-J57</f>
        <v>0</v>
      </c>
      <c r="L57" s="58">
        <v>160</v>
      </c>
      <c r="M57" s="63">
        <v>160</v>
      </c>
      <c r="N57" s="58">
        <v>8</v>
      </c>
      <c r="O57" s="58">
        <f>M57+N57</f>
        <v>168</v>
      </c>
      <c r="P57" s="58">
        <f>L57-O57</f>
        <v>-8</v>
      </c>
      <c r="Q57" s="65">
        <f>K57+P57</f>
        <v>-8</v>
      </c>
      <c r="R57" s="61">
        <v>160</v>
      </c>
      <c r="S57" s="61">
        <v>152</v>
      </c>
      <c r="T57" s="61">
        <v>8</v>
      </c>
      <c r="U57" s="61">
        <f>S57+T57</f>
        <v>160</v>
      </c>
      <c r="V57" s="61">
        <f>R57-U57</f>
        <v>0</v>
      </c>
      <c r="W57" s="72">
        <f>Q57+V57</f>
        <v>-8</v>
      </c>
      <c r="X57" s="70">
        <v>160</v>
      </c>
      <c r="Y57" s="70">
        <v>160</v>
      </c>
      <c r="Z57" s="70"/>
      <c r="AA57" s="70">
        <f>Y57+Z57</f>
        <v>160</v>
      </c>
      <c r="AB57" s="70">
        <f>X57-AA57</f>
        <v>0</v>
      </c>
      <c r="AC57" s="73">
        <f>W57+AB57</f>
        <v>-8</v>
      </c>
      <c r="AD57" s="77">
        <v>160</v>
      </c>
      <c r="AE57" s="77">
        <v>160</v>
      </c>
      <c r="AF57" s="77"/>
      <c r="AG57" s="77">
        <f>AE57+AF57</f>
        <v>160</v>
      </c>
      <c r="AH57" s="77">
        <f>AD57-AG57</f>
        <v>0</v>
      </c>
      <c r="AI57" s="84">
        <f>AC57+AH57</f>
        <v>-8</v>
      </c>
      <c r="AJ57" s="80">
        <v>160</v>
      </c>
      <c r="AK57" s="80">
        <v>160</v>
      </c>
      <c r="AL57" s="80"/>
      <c r="AM57" s="80">
        <f>AK57+AL57</f>
        <v>160</v>
      </c>
      <c r="AN57" s="80">
        <f>AJ57-AM57</f>
        <v>0</v>
      </c>
      <c r="AO57" s="80">
        <f>AI57+AN57</f>
        <v>-8</v>
      </c>
      <c r="AP57" s="82">
        <v>160</v>
      </c>
      <c r="AQ57" s="82">
        <v>160</v>
      </c>
      <c r="AR57" s="82"/>
      <c r="AS57" s="82">
        <f>AQ57+AR57</f>
        <v>160</v>
      </c>
      <c r="AT57" s="82">
        <f>AP57-AS57</f>
        <v>0</v>
      </c>
      <c r="AU57" s="82">
        <f>AO57+AT57</f>
        <v>-8</v>
      </c>
      <c r="AV57" s="77">
        <v>160</v>
      </c>
      <c r="AW57" s="77">
        <v>160</v>
      </c>
      <c r="AX57" s="77"/>
      <c r="AY57" s="77">
        <f>AW57+AX57</f>
        <v>160</v>
      </c>
      <c r="AZ57" s="77">
        <f>AV57-AY57</f>
        <v>0</v>
      </c>
      <c r="BA57" s="77">
        <f>AU57+AZ57</f>
        <v>-8</v>
      </c>
      <c r="BB57" s="58">
        <v>160</v>
      </c>
      <c r="BC57" s="58"/>
      <c r="BD57" s="58"/>
      <c r="BE57" s="58">
        <v>0</v>
      </c>
      <c r="BF57" s="58">
        <v>160</v>
      </c>
      <c r="BG57" s="58">
        <v>960</v>
      </c>
      <c r="BH57" s="77">
        <v>160</v>
      </c>
      <c r="BI57" s="77"/>
      <c r="BJ57" s="77"/>
      <c r="BK57" s="77">
        <v>0</v>
      </c>
      <c r="BL57" s="77">
        <v>160</v>
      </c>
      <c r="BM57" s="77">
        <v>960</v>
      </c>
      <c r="BN57" s="80">
        <v>160</v>
      </c>
      <c r="BO57" s="80"/>
      <c r="BP57" s="80"/>
      <c r="BQ57" s="80">
        <v>0</v>
      </c>
      <c r="BR57" s="80">
        <v>160</v>
      </c>
      <c r="BS57" s="80">
        <v>960</v>
      </c>
    </row>
    <row r="58" spans="1:71">
      <c r="A58" s="17" t="s">
        <v>63</v>
      </c>
      <c r="B58" s="17" t="s">
        <v>88</v>
      </c>
      <c r="C58" s="18">
        <v>1061723017</v>
      </c>
      <c r="D58" s="19">
        <v>46055</v>
      </c>
      <c r="E58" s="35">
        <v>46368</v>
      </c>
      <c r="F58" s="40">
        <f>(DAY(D58)-30-1)*-1</f>
        <v>29</v>
      </c>
      <c r="G58" s="41">
        <v>152</v>
      </c>
      <c r="H58" s="32">
        <v>128</v>
      </c>
      <c r="I58" s="32">
        <v>24</v>
      </c>
      <c r="J58" s="32">
        <f>H58+I58</f>
        <v>152</v>
      </c>
      <c r="K58" s="42">
        <f>G58-J58</f>
        <v>0</v>
      </c>
      <c r="L58" s="58">
        <v>160</v>
      </c>
      <c r="M58" s="58">
        <v>168</v>
      </c>
      <c r="N58" s="58">
        <v>8</v>
      </c>
      <c r="O58" s="58">
        <f>M58+N58</f>
        <v>176</v>
      </c>
      <c r="P58" s="58">
        <f>L58-O58</f>
        <v>-16</v>
      </c>
      <c r="Q58" s="65">
        <f>K58+P58</f>
        <v>-16</v>
      </c>
      <c r="R58" s="61">
        <v>160</v>
      </c>
      <c r="S58" s="61">
        <v>156</v>
      </c>
      <c r="T58" s="61">
        <v>8</v>
      </c>
      <c r="U58" s="61">
        <f>S58+T58</f>
        <v>164</v>
      </c>
      <c r="V58" s="61">
        <f>R58-U58</f>
        <v>-4</v>
      </c>
      <c r="W58" s="72">
        <f>Q58+V58</f>
        <v>-20</v>
      </c>
      <c r="X58" s="70">
        <v>160</v>
      </c>
      <c r="Y58" s="70">
        <v>160</v>
      </c>
      <c r="Z58" s="70"/>
      <c r="AA58" s="70">
        <f>Y58+Z58</f>
        <v>160</v>
      </c>
      <c r="AB58" s="70">
        <f>X58-AA58</f>
        <v>0</v>
      </c>
      <c r="AC58" s="73">
        <f>W58+AB58</f>
        <v>-20</v>
      </c>
      <c r="AD58" s="77">
        <v>160</v>
      </c>
      <c r="AE58" s="77">
        <v>160</v>
      </c>
      <c r="AF58" s="77"/>
      <c r="AG58" s="77">
        <f>AE58+AF58</f>
        <v>160</v>
      </c>
      <c r="AH58" s="77">
        <f>AD58-AG58</f>
        <v>0</v>
      </c>
      <c r="AI58" s="84">
        <f>AC58+AH58</f>
        <v>-20</v>
      </c>
      <c r="AJ58" s="80">
        <v>160</v>
      </c>
      <c r="AK58" s="80">
        <v>162</v>
      </c>
      <c r="AL58" s="80"/>
      <c r="AM58" s="80">
        <f>AK58+AL58</f>
        <v>162</v>
      </c>
      <c r="AN58" s="80">
        <f>AJ58-AM58</f>
        <v>-2</v>
      </c>
      <c r="AO58" s="80">
        <f>AI58+AN58</f>
        <v>-22</v>
      </c>
      <c r="AP58" s="82">
        <v>160</v>
      </c>
      <c r="AQ58" s="82">
        <v>164</v>
      </c>
      <c r="AR58" s="82"/>
      <c r="AS58" s="82">
        <f>AQ58+AR58</f>
        <v>164</v>
      </c>
      <c r="AT58" s="82">
        <f>AP58-AS58</f>
        <v>-4</v>
      </c>
      <c r="AU58" s="82">
        <f>AO58+AT58</f>
        <v>-26</v>
      </c>
      <c r="AV58" s="77">
        <v>160</v>
      </c>
      <c r="AW58" s="77">
        <v>164</v>
      </c>
      <c r="AX58" s="77"/>
      <c r="AY58" s="77">
        <f>AW58+AX58</f>
        <v>164</v>
      </c>
      <c r="AZ58" s="77">
        <f>AV58-AY58</f>
        <v>-4</v>
      </c>
      <c r="BA58" s="77">
        <f>AU58+AZ58</f>
        <v>-30</v>
      </c>
      <c r="BB58" s="58">
        <v>160</v>
      </c>
      <c r="BC58" s="58"/>
      <c r="BD58" s="58"/>
      <c r="BE58" s="58">
        <v>0</v>
      </c>
      <c r="BF58" s="58">
        <v>160</v>
      </c>
      <c r="BG58" s="58">
        <v>960</v>
      </c>
      <c r="BH58" s="77">
        <v>160</v>
      </c>
      <c r="BI58" s="77"/>
      <c r="BJ58" s="77"/>
      <c r="BK58" s="77">
        <v>0</v>
      </c>
      <c r="BL58" s="77">
        <v>160</v>
      </c>
      <c r="BM58" s="77">
        <v>960</v>
      </c>
      <c r="BN58" s="80">
        <v>160</v>
      </c>
      <c r="BO58" s="80"/>
      <c r="BP58" s="80"/>
      <c r="BQ58" s="80">
        <v>0</v>
      </c>
      <c r="BR58" s="80">
        <v>160</v>
      </c>
      <c r="BS58" s="80">
        <v>960</v>
      </c>
    </row>
    <row r="59" spans="1:71">
      <c r="A59" s="17" t="s">
        <v>63</v>
      </c>
      <c r="B59" s="120" t="s">
        <v>89</v>
      </c>
      <c r="C59" s="18">
        <v>25280075</v>
      </c>
      <c r="D59" s="19">
        <v>46055</v>
      </c>
      <c r="E59" s="35">
        <v>46368</v>
      </c>
      <c r="F59" s="40">
        <f>(DAY(D59)-30-1)*-1</f>
        <v>29</v>
      </c>
      <c r="G59" s="41">
        <v>152</v>
      </c>
      <c r="H59" s="32">
        <v>166</v>
      </c>
      <c r="I59" s="32">
        <v>0</v>
      </c>
      <c r="J59" s="32">
        <f>H59+I59</f>
        <v>166</v>
      </c>
      <c r="K59" s="42">
        <f>G59-J59</f>
        <v>-14</v>
      </c>
      <c r="L59" s="58">
        <v>160</v>
      </c>
      <c r="M59" s="85">
        <v>164</v>
      </c>
      <c r="N59" s="59">
        <v>35</v>
      </c>
      <c r="O59" s="58">
        <f>M59+N59</f>
        <v>199</v>
      </c>
      <c r="P59" s="58">
        <f>L59-O59</f>
        <v>-39</v>
      </c>
      <c r="Q59" s="65">
        <f>K59+P59</f>
        <v>-53</v>
      </c>
      <c r="R59" s="61">
        <v>160</v>
      </c>
      <c r="S59" s="61">
        <v>132</v>
      </c>
      <c r="T59" s="61">
        <v>35</v>
      </c>
      <c r="U59" s="61">
        <f>S59+T59</f>
        <v>167</v>
      </c>
      <c r="V59" s="61">
        <f>R59-U59</f>
        <v>-7</v>
      </c>
      <c r="W59" s="72">
        <f>Q59+V59</f>
        <v>-60</v>
      </c>
      <c r="X59" s="70">
        <v>160</v>
      </c>
      <c r="Y59" s="70">
        <v>130</v>
      </c>
      <c r="Z59" s="70">
        <v>30</v>
      </c>
      <c r="AA59" s="70">
        <f>Y59+Z59</f>
        <v>160</v>
      </c>
      <c r="AB59" s="70">
        <f>X59-AA59</f>
        <v>0</v>
      </c>
      <c r="AC59" s="73">
        <f>W59+AB59</f>
        <v>-60</v>
      </c>
      <c r="AD59" s="77">
        <v>160</v>
      </c>
      <c r="AE59" s="77">
        <v>128</v>
      </c>
      <c r="AF59" s="77">
        <v>35</v>
      </c>
      <c r="AG59" s="77">
        <f>AE59+AF59</f>
        <v>163</v>
      </c>
      <c r="AH59" s="77">
        <f>AD59-AG59</f>
        <v>-3</v>
      </c>
      <c r="AI59" s="84">
        <f>AC59+AH59</f>
        <v>-63</v>
      </c>
      <c r="AJ59" s="80">
        <v>160</v>
      </c>
      <c r="AK59" s="80">
        <v>125</v>
      </c>
      <c r="AL59" s="80">
        <v>35</v>
      </c>
      <c r="AM59" s="80">
        <f>AK59+AL59</f>
        <v>160</v>
      </c>
      <c r="AN59" s="80">
        <f>AJ59-AM59</f>
        <v>0</v>
      </c>
      <c r="AO59" s="80">
        <f>AI59+AN59</f>
        <v>-63</v>
      </c>
      <c r="AP59" s="82">
        <v>160</v>
      </c>
      <c r="AQ59" s="82">
        <v>120</v>
      </c>
      <c r="AR59" s="82">
        <v>35</v>
      </c>
      <c r="AS59" s="82">
        <f>AQ59+AR59</f>
        <v>155</v>
      </c>
      <c r="AT59" s="82">
        <f>AP59-AS59</f>
        <v>5</v>
      </c>
      <c r="AU59" s="82">
        <f>AO59+AT59</f>
        <v>-58</v>
      </c>
      <c r="AV59" s="77">
        <v>160</v>
      </c>
      <c r="AW59" s="77">
        <v>125</v>
      </c>
      <c r="AX59" s="77">
        <v>35</v>
      </c>
      <c r="AY59" s="77">
        <f>AW59+AX59</f>
        <v>160</v>
      </c>
      <c r="AZ59" s="77">
        <f>AV59-AY59</f>
        <v>0</v>
      </c>
      <c r="BA59" s="77">
        <f>AU59+AZ59</f>
        <v>-58</v>
      </c>
      <c r="BB59" s="58">
        <v>160</v>
      </c>
      <c r="BC59" s="58"/>
      <c r="BD59" s="58"/>
      <c r="BE59" s="58">
        <v>0</v>
      </c>
      <c r="BF59" s="58">
        <v>160</v>
      </c>
      <c r="BG59" s="58">
        <v>960</v>
      </c>
      <c r="BH59" s="77">
        <v>160</v>
      </c>
      <c r="BI59" s="77"/>
      <c r="BJ59" s="77"/>
      <c r="BK59" s="77">
        <v>0</v>
      </c>
      <c r="BL59" s="77">
        <v>160</v>
      </c>
      <c r="BM59" s="77">
        <v>960</v>
      </c>
      <c r="BN59" s="80">
        <v>160</v>
      </c>
      <c r="BO59" s="80"/>
      <c r="BP59" s="80"/>
      <c r="BQ59" s="80">
        <v>0</v>
      </c>
      <c r="BR59" s="80">
        <v>160</v>
      </c>
      <c r="BS59" s="80">
        <v>960</v>
      </c>
    </row>
    <row r="60" spans="1:71">
      <c r="A60" s="17" t="s">
        <v>63</v>
      </c>
      <c r="B60" s="17" t="s">
        <v>90</v>
      </c>
      <c r="C60" s="20">
        <v>1061715242</v>
      </c>
      <c r="D60" s="19">
        <v>46055</v>
      </c>
      <c r="E60" s="35">
        <v>46368</v>
      </c>
      <c r="F60" s="40">
        <f>(DAY(D60)-30-1)*-1</f>
        <v>29</v>
      </c>
      <c r="G60" s="41">
        <v>152</v>
      </c>
      <c r="H60" s="32">
        <v>152</v>
      </c>
      <c r="I60" s="32">
        <v>0</v>
      </c>
      <c r="J60" s="32">
        <f>H60+I60</f>
        <v>152</v>
      </c>
      <c r="K60" s="42">
        <f>G60-J60</f>
        <v>0</v>
      </c>
      <c r="L60" s="58">
        <v>160</v>
      </c>
      <c r="M60" s="58">
        <v>180</v>
      </c>
      <c r="N60" s="58">
        <v>8</v>
      </c>
      <c r="O60" s="58">
        <f>M60+N60</f>
        <v>188</v>
      </c>
      <c r="P60" s="58">
        <f>L60-O60</f>
        <v>-28</v>
      </c>
      <c r="Q60" s="65">
        <f>K60+P60</f>
        <v>-28</v>
      </c>
      <c r="R60" s="61">
        <v>160</v>
      </c>
      <c r="S60" s="61">
        <v>160</v>
      </c>
      <c r="T60" s="61">
        <v>8</v>
      </c>
      <c r="U60" s="61">
        <f>S60+T60</f>
        <v>168</v>
      </c>
      <c r="V60" s="61">
        <f>R60-U60</f>
        <v>-8</v>
      </c>
      <c r="W60" s="72">
        <f>Q60+V60</f>
        <v>-36</v>
      </c>
      <c r="X60" s="70">
        <v>160</v>
      </c>
      <c r="Y60" s="70">
        <v>142</v>
      </c>
      <c r="Z60" s="70"/>
      <c r="AA60" s="70">
        <f>Y60+Z60</f>
        <v>142</v>
      </c>
      <c r="AB60" s="70">
        <f>X60-AA60</f>
        <v>18</v>
      </c>
      <c r="AC60" s="73">
        <f>W60+AB60</f>
        <v>-18</v>
      </c>
      <c r="AD60" s="77">
        <v>160</v>
      </c>
      <c r="AE60" s="77">
        <v>182</v>
      </c>
      <c r="AF60" s="77"/>
      <c r="AG60" s="77">
        <f>AE60+AF60</f>
        <v>182</v>
      </c>
      <c r="AH60" s="77">
        <f>AD60-AG60</f>
        <v>-22</v>
      </c>
      <c r="AI60" s="84">
        <f>AC60+AH60</f>
        <v>-40</v>
      </c>
      <c r="AJ60" s="80">
        <v>160</v>
      </c>
      <c r="AK60" s="80">
        <v>184</v>
      </c>
      <c r="AL60" s="80"/>
      <c r="AM60" s="80">
        <f>AK60+AL60</f>
        <v>184</v>
      </c>
      <c r="AN60" s="80">
        <f>AJ60-AM60</f>
        <v>-24</v>
      </c>
      <c r="AO60" s="80">
        <f>AI60+AN60</f>
        <v>-64</v>
      </c>
      <c r="AP60" s="82">
        <v>160</v>
      </c>
      <c r="AQ60" s="82">
        <v>132</v>
      </c>
      <c r="AR60" s="82">
        <v>38</v>
      </c>
      <c r="AS60" s="82">
        <f>AQ60+AR60</f>
        <v>170</v>
      </c>
      <c r="AT60" s="82">
        <f>AP60-AS60</f>
        <v>-10</v>
      </c>
      <c r="AU60" s="82">
        <f>AO60+AT60</f>
        <v>-74</v>
      </c>
      <c r="AV60" s="77">
        <v>160</v>
      </c>
      <c r="AW60" s="77">
        <v>170</v>
      </c>
      <c r="AX60" s="77">
        <v>18</v>
      </c>
      <c r="AY60" s="77">
        <f>AW60+AX60</f>
        <v>188</v>
      </c>
      <c r="AZ60" s="77">
        <f>AV60-AY60</f>
        <v>-28</v>
      </c>
      <c r="BA60" s="77">
        <f>AU60+AZ60</f>
        <v>-102</v>
      </c>
      <c r="BB60" s="58">
        <v>160</v>
      </c>
      <c r="BC60" s="58"/>
      <c r="BD60" s="58"/>
      <c r="BE60" s="58">
        <v>0</v>
      </c>
      <c r="BF60" s="58">
        <v>160</v>
      </c>
      <c r="BG60" s="58">
        <v>960</v>
      </c>
      <c r="BH60" s="77">
        <v>160</v>
      </c>
      <c r="BI60" s="77"/>
      <c r="BJ60" s="77"/>
      <c r="BK60" s="77">
        <v>0</v>
      </c>
      <c r="BL60" s="77">
        <v>160</v>
      </c>
      <c r="BM60" s="77">
        <v>960</v>
      </c>
      <c r="BN60" s="80">
        <v>160</v>
      </c>
      <c r="BO60" s="80"/>
      <c r="BP60" s="80"/>
      <c r="BQ60" s="80">
        <v>0</v>
      </c>
      <c r="BR60" s="80">
        <v>160</v>
      </c>
      <c r="BS60" s="80">
        <v>960</v>
      </c>
    </row>
    <row r="61" spans="1:71">
      <c r="A61" s="17" t="s">
        <v>63</v>
      </c>
      <c r="B61" s="17" t="s">
        <v>91</v>
      </c>
      <c r="C61" s="20">
        <v>80092807</v>
      </c>
      <c r="D61" s="19">
        <v>46055</v>
      </c>
      <c r="E61" s="35">
        <v>46368</v>
      </c>
      <c r="F61" s="40">
        <f>(DAY(D61)-30-1)*-1</f>
        <v>29</v>
      </c>
      <c r="G61" s="41">
        <v>152</v>
      </c>
      <c r="H61" s="32">
        <v>152</v>
      </c>
      <c r="I61" s="32">
        <v>0</v>
      </c>
      <c r="J61" s="32">
        <f>H61+I61</f>
        <v>152</v>
      </c>
      <c r="K61" s="42">
        <f>G61-J61</f>
        <v>0</v>
      </c>
      <c r="L61" s="58">
        <v>160</v>
      </c>
      <c r="M61" s="58">
        <v>168</v>
      </c>
      <c r="N61" s="58">
        <v>8</v>
      </c>
      <c r="O61" s="58">
        <f>M61+N61</f>
        <v>176</v>
      </c>
      <c r="P61" s="58">
        <f>L61-O61</f>
        <v>-16</v>
      </c>
      <c r="Q61" s="65">
        <f>K61+P61</f>
        <v>-16</v>
      </c>
      <c r="R61" s="61">
        <v>160</v>
      </c>
      <c r="S61" s="61">
        <v>176</v>
      </c>
      <c r="T61" s="61">
        <v>8</v>
      </c>
      <c r="U61" s="61">
        <f>S61+T61</f>
        <v>184</v>
      </c>
      <c r="V61" s="61">
        <f>R61-U61</f>
        <v>-24</v>
      </c>
      <c r="W61" s="72">
        <f>Q61+V61</f>
        <v>-40</v>
      </c>
      <c r="X61" s="70">
        <v>160</v>
      </c>
      <c r="Y61" s="70">
        <v>168</v>
      </c>
      <c r="Z61" s="70"/>
      <c r="AA61" s="70">
        <f>Y61+Z61</f>
        <v>168</v>
      </c>
      <c r="AB61" s="70">
        <f>X61-AA61</f>
        <v>-8</v>
      </c>
      <c r="AC61" s="73">
        <f>W61+AB61</f>
        <v>-48</v>
      </c>
      <c r="AD61" s="77">
        <v>160</v>
      </c>
      <c r="AE61" s="77">
        <v>196</v>
      </c>
      <c r="AF61" s="77"/>
      <c r="AG61" s="77">
        <f>AE61+AF61</f>
        <v>196</v>
      </c>
      <c r="AH61" s="77">
        <f>AD61-AG61</f>
        <v>-36</v>
      </c>
      <c r="AI61" s="84">
        <f>AC61+AH61</f>
        <v>-84</v>
      </c>
      <c r="AJ61" s="80">
        <v>160</v>
      </c>
      <c r="AK61" s="80">
        <v>212</v>
      </c>
      <c r="AL61" s="80"/>
      <c r="AM61" s="80">
        <f>AK61+AL61</f>
        <v>212</v>
      </c>
      <c r="AN61" s="80">
        <f>AJ61-AM61</f>
        <v>-52</v>
      </c>
      <c r="AO61" s="80">
        <f>AI61+AN61</f>
        <v>-136</v>
      </c>
      <c r="AP61" s="82">
        <v>160</v>
      </c>
      <c r="AQ61" s="82">
        <v>114</v>
      </c>
      <c r="AR61" s="82">
        <v>34</v>
      </c>
      <c r="AS61" s="82">
        <f>AQ61+AR61</f>
        <v>148</v>
      </c>
      <c r="AT61" s="82">
        <f>AP61-AS61</f>
        <v>12</v>
      </c>
      <c r="AU61" s="82">
        <f>AO61+AT61</f>
        <v>-124</v>
      </c>
      <c r="AV61" s="77">
        <v>160</v>
      </c>
      <c r="AW61" s="77">
        <v>174</v>
      </c>
      <c r="AX61" s="77">
        <v>34</v>
      </c>
      <c r="AY61" s="77">
        <f>AW61+AX61</f>
        <v>208</v>
      </c>
      <c r="AZ61" s="77">
        <f>AV61-AY61</f>
        <v>-48</v>
      </c>
      <c r="BA61" s="77">
        <f>AU61+AZ61</f>
        <v>-172</v>
      </c>
      <c r="BB61" s="58">
        <v>160</v>
      </c>
      <c r="BC61" s="58"/>
      <c r="BD61" s="58"/>
      <c r="BE61" s="58">
        <v>0</v>
      </c>
      <c r="BF61" s="58">
        <v>160</v>
      </c>
      <c r="BG61" s="58">
        <v>960</v>
      </c>
      <c r="BH61" s="77">
        <v>160</v>
      </c>
      <c r="BI61" s="77"/>
      <c r="BJ61" s="77"/>
      <c r="BK61" s="77">
        <v>0</v>
      </c>
      <c r="BL61" s="77">
        <v>160</v>
      </c>
      <c r="BM61" s="77">
        <v>960</v>
      </c>
      <c r="BN61" s="80">
        <v>160</v>
      </c>
      <c r="BO61" s="80"/>
      <c r="BP61" s="80"/>
      <c r="BQ61" s="80">
        <v>0</v>
      </c>
      <c r="BR61" s="80">
        <v>160</v>
      </c>
      <c r="BS61" s="80">
        <v>960</v>
      </c>
    </row>
    <row r="62" spans="1:71">
      <c r="A62" s="17" t="s">
        <v>63</v>
      </c>
      <c r="B62" s="18" t="s">
        <v>92</v>
      </c>
      <c r="C62" s="21">
        <v>34562296</v>
      </c>
      <c r="D62" s="19">
        <v>46055</v>
      </c>
      <c r="E62" s="35">
        <v>46368</v>
      </c>
      <c r="F62" s="40">
        <f>(DAY(D62)-30-1)*-1</f>
        <v>29</v>
      </c>
      <c r="G62" s="41">
        <v>152</v>
      </c>
      <c r="H62" s="32">
        <v>72</v>
      </c>
      <c r="I62" s="32">
        <v>24</v>
      </c>
      <c r="J62" s="32">
        <f>H62+I62</f>
        <v>96</v>
      </c>
      <c r="K62" s="43">
        <f>G62-J62</f>
        <v>56</v>
      </c>
      <c r="L62" s="58">
        <v>160</v>
      </c>
      <c r="M62" s="63">
        <v>192</v>
      </c>
      <c r="N62" s="58">
        <v>0</v>
      </c>
      <c r="O62" s="58">
        <f>M62+N62</f>
        <v>192</v>
      </c>
      <c r="P62" s="58">
        <f>L62-O62</f>
        <v>-32</v>
      </c>
      <c r="Q62" s="86">
        <f>K62+P62</f>
        <v>24</v>
      </c>
      <c r="R62" s="61">
        <v>160</v>
      </c>
      <c r="S62" s="61">
        <v>112</v>
      </c>
      <c r="T62" s="61">
        <v>8</v>
      </c>
      <c r="U62" s="61">
        <f>S62+T62</f>
        <v>120</v>
      </c>
      <c r="V62" s="61">
        <f>R62-U62</f>
        <v>40</v>
      </c>
      <c r="W62" s="72">
        <f>Q62+V62</f>
        <v>64</v>
      </c>
      <c r="X62" s="70">
        <v>160</v>
      </c>
      <c r="Y62" s="70">
        <v>168</v>
      </c>
      <c r="Z62" s="70"/>
      <c r="AA62" s="70">
        <f>Y62+Z62</f>
        <v>168</v>
      </c>
      <c r="AB62" s="70">
        <f>X62-AA62</f>
        <v>-8</v>
      </c>
      <c r="AC62" s="73">
        <f>W62+AB62</f>
        <v>56</v>
      </c>
      <c r="AD62" s="77">
        <v>160</v>
      </c>
      <c r="AE62" s="77">
        <v>180</v>
      </c>
      <c r="AF62" s="77"/>
      <c r="AG62" s="77">
        <f>AE62+AF62</f>
        <v>180</v>
      </c>
      <c r="AH62" s="77">
        <f>AD62-AG62</f>
        <v>-20</v>
      </c>
      <c r="AI62" s="84">
        <f>AC62+AH62</f>
        <v>36</v>
      </c>
      <c r="AJ62" s="80">
        <v>160</v>
      </c>
      <c r="AK62" s="80">
        <v>206</v>
      </c>
      <c r="AL62" s="80"/>
      <c r="AM62" s="80">
        <f>AK62+AL62</f>
        <v>206</v>
      </c>
      <c r="AN62" s="80">
        <f>AJ62-AM62</f>
        <v>-46</v>
      </c>
      <c r="AO62" s="80">
        <f>AI62+AN62</f>
        <v>-10</v>
      </c>
      <c r="AP62" s="82">
        <v>160</v>
      </c>
      <c r="AQ62" s="82">
        <v>160</v>
      </c>
      <c r="AR62" s="82"/>
      <c r="AS62" s="82">
        <f>AQ62+AR62</f>
        <v>160</v>
      </c>
      <c r="AT62" s="82">
        <f>AP62-AS62</f>
        <v>0</v>
      </c>
      <c r="AU62" s="82">
        <f>AO62+AT62</f>
        <v>-10</v>
      </c>
      <c r="AV62" s="77">
        <v>160</v>
      </c>
      <c r="AW62" s="77">
        <v>160</v>
      </c>
      <c r="AX62" s="77"/>
      <c r="AY62" s="77">
        <f>AW62+AX62</f>
        <v>160</v>
      </c>
      <c r="AZ62" s="77">
        <f>AV62-AY62</f>
        <v>0</v>
      </c>
      <c r="BA62" s="77">
        <f>AU62+AZ62</f>
        <v>-10</v>
      </c>
      <c r="BB62" s="58">
        <v>160</v>
      </c>
      <c r="BC62" s="58"/>
      <c r="BD62" s="58"/>
      <c r="BE62" s="58">
        <v>0</v>
      </c>
      <c r="BF62" s="58">
        <v>160</v>
      </c>
      <c r="BG62" s="58">
        <v>960</v>
      </c>
      <c r="BH62" s="77">
        <v>160</v>
      </c>
      <c r="BI62" s="77"/>
      <c r="BJ62" s="77"/>
      <c r="BK62" s="77">
        <v>0</v>
      </c>
      <c r="BL62" s="77">
        <v>160</v>
      </c>
      <c r="BM62" s="77">
        <v>960</v>
      </c>
      <c r="BN62" s="80">
        <v>160</v>
      </c>
      <c r="BO62" s="80"/>
      <c r="BP62" s="80"/>
      <c r="BQ62" s="80">
        <v>0</v>
      </c>
      <c r="BR62" s="80">
        <v>160</v>
      </c>
      <c r="BS62" s="80">
        <v>960</v>
      </c>
    </row>
    <row r="63" spans="1:71">
      <c r="A63" s="17" t="s">
        <v>63</v>
      </c>
      <c r="B63" s="18" t="s">
        <v>93</v>
      </c>
      <c r="C63" s="22">
        <v>34331010</v>
      </c>
      <c r="D63" s="19">
        <v>46055</v>
      </c>
      <c r="E63" s="35">
        <v>46355</v>
      </c>
      <c r="F63" s="40">
        <f>(DAY(D63)-30-1)*-1</f>
        <v>29</v>
      </c>
      <c r="G63" s="41">
        <v>152</v>
      </c>
      <c r="H63" s="32">
        <v>152</v>
      </c>
      <c r="I63" s="32">
        <v>0</v>
      </c>
      <c r="J63" s="32">
        <f>H63+I63</f>
        <v>152</v>
      </c>
      <c r="K63" s="42">
        <f>G63-J63</f>
        <v>0</v>
      </c>
      <c r="L63" s="58">
        <v>160</v>
      </c>
      <c r="M63" s="58">
        <v>176</v>
      </c>
      <c r="N63" s="58">
        <v>8</v>
      </c>
      <c r="O63" s="58">
        <f>M63+N63</f>
        <v>184</v>
      </c>
      <c r="P63" s="58">
        <f>L63-O63</f>
        <v>-24</v>
      </c>
      <c r="Q63" s="65">
        <f>K63+P63</f>
        <v>-24</v>
      </c>
      <c r="R63" s="61">
        <v>160</v>
      </c>
      <c r="S63" s="61">
        <v>176</v>
      </c>
      <c r="T63" s="61">
        <v>8</v>
      </c>
      <c r="U63" s="61">
        <f>S63+T63</f>
        <v>184</v>
      </c>
      <c r="V63" s="61">
        <f>R63-U63</f>
        <v>-24</v>
      </c>
      <c r="W63" s="72">
        <f>Q63+V63</f>
        <v>-48</v>
      </c>
      <c r="X63" s="70">
        <v>160</v>
      </c>
      <c r="Y63" s="70">
        <v>168</v>
      </c>
      <c r="Z63" s="70"/>
      <c r="AA63" s="70">
        <f>Y63+Z63</f>
        <v>168</v>
      </c>
      <c r="AB63" s="70">
        <f>X63-AA63</f>
        <v>-8</v>
      </c>
      <c r="AC63" s="73">
        <f>W63+AB63</f>
        <v>-56</v>
      </c>
      <c r="AD63" s="77">
        <v>160</v>
      </c>
      <c r="AE63" s="77">
        <v>176</v>
      </c>
      <c r="AF63" s="77"/>
      <c r="AG63" s="77">
        <f>AE63+AF63</f>
        <v>176</v>
      </c>
      <c r="AH63" s="77">
        <f>AD63-AG63</f>
        <v>-16</v>
      </c>
      <c r="AI63" s="84">
        <f>AC63+AH63</f>
        <v>-72</v>
      </c>
      <c r="AJ63" s="80">
        <v>160</v>
      </c>
      <c r="AK63" s="80">
        <v>184</v>
      </c>
      <c r="AL63" s="80"/>
      <c r="AM63" s="80">
        <f>AK63+AL63</f>
        <v>184</v>
      </c>
      <c r="AN63" s="80">
        <f>AJ63-AM63</f>
        <v>-24</v>
      </c>
      <c r="AO63" s="80">
        <f>AI63+AN63</f>
        <v>-96</v>
      </c>
      <c r="AP63" s="82">
        <v>160</v>
      </c>
      <c r="AQ63" s="82">
        <v>168</v>
      </c>
      <c r="AR63" s="82"/>
      <c r="AS63" s="82">
        <f>AQ63+AR63</f>
        <v>168</v>
      </c>
      <c r="AT63" s="82">
        <f>AP63-AS63</f>
        <v>-8</v>
      </c>
      <c r="AU63" s="82">
        <f>AO63+AT63</f>
        <v>-104</v>
      </c>
      <c r="AV63" s="77">
        <v>160</v>
      </c>
      <c r="AW63" s="77">
        <v>176</v>
      </c>
      <c r="AX63" s="77"/>
      <c r="AY63" s="77">
        <f>AW63+AX63</f>
        <v>176</v>
      </c>
      <c r="AZ63" s="77">
        <f>AV63-AY63</f>
        <v>-16</v>
      </c>
      <c r="BA63" s="77">
        <f>AU63+AZ63</f>
        <v>-120</v>
      </c>
      <c r="BB63" s="58">
        <v>160</v>
      </c>
      <c r="BC63" s="58"/>
      <c r="BD63" s="58"/>
      <c r="BE63" s="58">
        <v>0</v>
      </c>
      <c r="BF63" s="58">
        <v>160</v>
      </c>
      <c r="BG63" s="58">
        <v>960</v>
      </c>
      <c r="BH63" s="77">
        <v>160</v>
      </c>
      <c r="BI63" s="77"/>
      <c r="BJ63" s="77"/>
      <c r="BK63" s="77">
        <v>0</v>
      </c>
      <c r="BL63" s="77">
        <v>160</v>
      </c>
      <c r="BM63" s="77">
        <v>960</v>
      </c>
      <c r="BN63" s="80">
        <v>160</v>
      </c>
      <c r="BO63" s="80"/>
      <c r="BP63" s="80"/>
      <c r="BQ63" s="80">
        <v>0</v>
      </c>
      <c r="BR63" s="80">
        <v>160</v>
      </c>
      <c r="BS63" s="80">
        <v>960</v>
      </c>
    </row>
    <row r="64" spans="1:71">
      <c r="A64" s="17" t="s">
        <v>63</v>
      </c>
      <c r="B64" s="18" t="s">
        <v>94</v>
      </c>
      <c r="C64" s="22">
        <v>1090493678</v>
      </c>
      <c r="D64" s="19">
        <v>46055</v>
      </c>
      <c r="E64" s="35">
        <v>46355</v>
      </c>
      <c r="F64" s="40">
        <f>(DAY(D64)-30-1)*-1</f>
        <v>29</v>
      </c>
      <c r="G64" s="41">
        <v>152</v>
      </c>
      <c r="H64" s="32">
        <v>152</v>
      </c>
      <c r="I64" s="32">
        <v>0</v>
      </c>
      <c r="J64" s="32">
        <f>H64+I64</f>
        <v>152</v>
      </c>
      <c r="K64" s="42">
        <f>G64-J64</f>
        <v>0</v>
      </c>
      <c r="L64" s="58">
        <v>160</v>
      </c>
      <c r="M64" s="58">
        <v>176</v>
      </c>
      <c r="N64" s="58">
        <v>8</v>
      </c>
      <c r="O64" s="58">
        <f>M64+N64</f>
        <v>184</v>
      </c>
      <c r="P64" s="58">
        <f>L64-O64</f>
        <v>-24</v>
      </c>
      <c r="Q64" s="65">
        <f>K64+P64</f>
        <v>-24</v>
      </c>
      <c r="R64" s="61">
        <v>160</v>
      </c>
      <c r="S64" s="61">
        <v>176</v>
      </c>
      <c r="T64" s="61">
        <v>8</v>
      </c>
      <c r="U64" s="61">
        <f>S64+T64</f>
        <v>184</v>
      </c>
      <c r="V64" s="61">
        <f>R64-U64</f>
        <v>-24</v>
      </c>
      <c r="W64" s="72">
        <f>Q64+V64</f>
        <v>-48</v>
      </c>
      <c r="X64" s="70">
        <v>160</v>
      </c>
      <c r="Y64" s="70">
        <v>168</v>
      </c>
      <c r="Z64" s="70"/>
      <c r="AA64" s="70">
        <f>Y64+Z64</f>
        <v>168</v>
      </c>
      <c r="AB64" s="70">
        <f>X64-AA64</f>
        <v>-8</v>
      </c>
      <c r="AC64" s="73">
        <f>W64+AB64</f>
        <v>-56</v>
      </c>
      <c r="AD64" s="77">
        <v>160</v>
      </c>
      <c r="AE64" s="77">
        <v>176</v>
      </c>
      <c r="AF64" s="77"/>
      <c r="AG64" s="77">
        <f>AE64+AF64</f>
        <v>176</v>
      </c>
      <c r="AH64" s="77">
        <f>AD64-AG64</f>
        <v>-16</v>
      </c>
      <c r="AI64" s="84">
        <f>AC64+AH64</f>
        <v>-72</v>
      </c>
      <c r="AJ64" s="80">
        <v>160</v>
      </c>
      <c r="AK64" s="80">
        <v>184</v>
      </c>
      <c r="AL64" s="80"/>
      <c r="AM64" s="80">
        <f>AK64+AL64</f>
        <v>184</v>
      </c>
      <c r="AN64" s="80">
        <f>AJ64-AM64</f>
        <v>-24</v>
      </c>
      <c r="AO64" s="80">
        <f>AI64+AN64</f>
        <v>-96</v>
      </c>
      <c r="AP64" s="82">
        <v>160</v>
      </c>
      <c r="AQ64" s="82">
        <v>168</v>
      </c>
      <c r="AR64" s="82"/>
      <c r="AS64" s="82">
        <f>AQ64+AR64</f>
        <v>168</v>
      </c>
      <c r="AT64" s="82">
        <f>AP64-AS64</f>
        <v>-8</v>
      </c>
      <c r="AU64" s="82">
        <f>AO64+AT64</f>
        <v>-104</v>
      </c>
      <c r="AV64" s="77">
        <v>160</v>
      </c>
      <c r="AW64" s="77">
        <v>176</v>
      </c>
      <c r="AX64" s="77"/>
      <c r="AY64" s="77">
        <f>AW64+AX64</f>
        <v>176</v>
      </c>
      <c r="AZ64" s="77">
        <f>AV64-AY64</f>
        <v>-16</v>
      </c>
      <c r="BA64" s="77">
        <f>AU64+AZ64</f>
        <v>-120</v>
      </c>
      <c r="BB64" s="58">
        <v>160</v>
      </c>
      <c r="BC64" s="58"/>
      <c r="BD64" s="58"/>
      <c r="BE64" s="58">
        <v>0</v>
      </c>
      <c r="BF64" s="58">
        <v>160</v>
      </c>
      <c r="BG64" s="58">
        <v>960</v>
      </c>
      <c r="BH64" s="77">
        <v>160</v>
      </c>
      <c r="BI64" s="77"/>
      <c r="BJ64" s="77"/>
      <c r="BK64" s="77">
        <v>0</v>
      </c>
      <c r="BL64" s="77">
        <v>160</v>
      </c>
      <c r="BM64" s="77">
        <v>960</v>
      </c>
      <c r="BN64" s="80">
        <v>160</v>
      </c>
      <c r="BO64" s="80"/>
      <c r="BP64" s="80"/>
      <c r="BQ64" s="80">
        <v>0</v>
      </c>
      <c r="BR64" s="80">
        <v>160</v>
      </c>
      <c r="BS64" s="80">
        <v>960</v>
      </c>
    </row>
    <row r="65" spans="1:71">
      <c r="A65" s="17" t="s">
        <v>63</v>
      </c>
      <c r="B65" s="18" t="s">
        <v>95</v>
      </c>
      <c r="C65" s="23">
        <v>10292539</v>
      </c>
      <c r="D65" s="19">
        <v>46055</v>
      </c>
      <c r="E65" s="35">
        <v>46355</v>
      </c>
      <c r="F65" s="40">
        <f>(DAY(D65)-30-1)*-1</f>
        <v>29</v>
      </c>
      <c r="G65" s="41">
        <v>152</v>
      </c>
      <c r="H65" s="32">
        <v>152</v>
      </c>
      <c r="I65" s="32">
        <v>0</v>
      </c>
      <c r="J65" s="32">
        <f>H65+I65</f>
        <v>152</v>
      </c>
      <c r="K65" s="42">
        <f>G65-J65</f>
        <v>0</v>
      </c>
      <c r="L65" s="58">
        <v>160</v>
      </c>
      <c r="M65" s="58">
        <v>176</v>
      </c>
      <c r="N65" s="58">
        <v>8</v>
      </c>
      <c r="O65" s="58">
        <f>M65+N65</f>
        <v>184</v>
      </c>
      <c r="P65" s="58">
        <f>L65-O65</f>
        <v>-24</v>
      </c>
      <c r="Q65" s="65">
        <f>K65+P65</f>
        <v>-24</v>
      </c>
      <c r="R65" s="61">
        <v>160</v>
      </c>
      <c r="S65" s="61">
        <v>176</v>
      </c>
      <c r="T65" s="61">
        <v>8</v>
      </c>
      <c r="U65" s="61">
        <f>S65+T65</f>
        <v>184</v>
      </c>
      <c r="V65" s="61">
        <f>R65-U65</f>
        <v>-24</v>
      </c>
      <c r="W65" s="72">
        <f>Q65+V65</f>
        <v>-48</v>
      </c>
      <c r="X65" s="70">
        <v>160</v>
      </c>
      <c r="Y65" s="70">
        <v>206</v>
      </c>
      <c r="Z65" s="70"/>
      <c r="AA65" s="70">
        <f>Y65+Z65</f>
        <v>206</v>
      </c>
      <c r="AB65" s="70">
        <f>X65-AA65</f>
        <v>-46</v>
      </c>
      <c r="AC65" s="73">
        <f>W65+AB65</f>
        <v>-94</v>
      </c>
      <c r="AD65" s="77">
        <v>160</v>
      </c>
      <c r="AE65" s="77">
        <v>178</v>
      </c>
      <c r="AF65" s="77"/>
      <c r="AG65" s="77">
        <f>AE65+AF65</f>
        <v>178</v>
      </c>
      <c r="AH65" s="77">
        <f>AD65-AG65</f>
        <v>-18</v>
      </c>
      <c r="AI65" s="84">
        <f>AC65+AH65</f>
        <v>-112</v>
      </c>
      <c r="AJ65" s="80">
        <v>160</v>
      </c>
      <c r="AK65" s="80">
        <v>184</v>
      </c>
      <c r="AL65" s="80"/>
      <c r="AM65" s="80">
        <f>AK65+AL65</f>
        <v>184</v>
      </c>
      <c r="AN65" s="80">
        <f>AJ65-AM65</f>
        <v>-24</v>
      </c>
      <c r="AO65" s="80">
        <f>AI65+AN65</f>
        <v>-136</v>
      </c>
      <c r="AP65" s="82">
        <v>160</v>
      </c>
      <c r="AQ65" s="82">
        <v>112</v>
      </c>
      <c r="AR65" s="82">
        <v>40</v>
      </c>
      <c r="AS65" s="82">
        <f>AQ65+AR65</f>
        <v>152</v>
      </c>
      <c r="AT65" s="82">
        <f>AP65-AS65</f>
        <v>8</v>
      </c>
      <c r="AU65" s="82">
        <f>AO65+AT65</f>
        <v>-128</v>
      </c>
      <c r="AV65" s="77">
        <v>160</v>
      </c>
      <c r="AW65" s="77">
        <v>176</v>
      </c>
      <c r="AX65" s="77">
        <v>16</v>
      </c>
      <c r="AY65" s="77">
        <f>AW65+AX65</f>
        <v>192</v>
      </c>
      <c r="AZ65" s="77">
        <f>AV65-AY65</f>
        <v>-32</v>
      </c>
      <c r="BA65" s="77">
        <f>AU65+AZ65</f>
        <v>-160</v>
      </c>
      <c r="BB65" s="58">
        <v>160</v>
      </c>
      <c r="BC65" s="58"/>
      <c r="BD65" s="58"/>
      <c r="BE65" s="58">
        <v>0</v>
      </c>
      <c r="BF65" s="58">
        <v>160</v>
      </c>
      <c r="BG65" s="58">
        <v>960</v>
      </c>
      <c r="BH65" s="77">
        <v>160</v>
      </c>
      <c r="BI65" s="77"/>
      <c r="BJ65" s="77"/>
      <c r="BK65" s="77">
        <v>0</v>
      </c>
      <c r="BL65" s="77">
        <v>160</v>
      </c>
      <c r="BM65" s="77">
        <v>960</v>
      </c>
      <c r="BN65" s="80">
        <v>160</v>
      </c>
      <c r="BO65" s="80"/>
      <c r="BP65" s="80"/>
      <c r="BQ65" s="80">
        <v>0</v>
      </c>
      <c r="BR65" s="80">
        <v>160</v>
      </c>
      <c r="BS65" s="80">
        <v>960</v>
      </c>
    </row>
    <row r="66" spans="1:71">
      <c r="A66" s="17" t="s">
        <v>63</v>
      </c>
      <c r="B66" s="18" t="s">
        <v>96</v>
      </c>
      <c r="C66" s="23">
        <v>1086358830</v>
      </c>
      <c r="D66" s="19">
        <v>46055</v>
      </c>
      <c r="E66" s="35">
        <v>46355</v>
      </c>
      <c r="F66" s="40">
        <f>(DAY(D66)-30-1)*-1</f>
        <v>29</v>
      </c>
      <c r="G66" s="41">
        <v>152</v>
      </c>
      <c r="H66" s="32">
        <v>152</v>
      </c>
      <c r="I66" s="32">
        <v>0</v>
      </c>
      <c r="J66" s="32">
        <f>H66+I66</f>
        <v>152</v>
      </c>
      <c r="K66" s="42">
        <f>G66-J66</f>
        <v>0</v>
      </c>
      <c r="L66" s="58">
        <v>160</v>
      </c>
      <c r="M66" s="58">
        <v>176</v>
      </c>
      <c r="N66" s="58">
        <v>8</v>
      </c>
      <c r="O66" s="58">
        <f>M66+N66</f>
        <v>184</v>
      </c>
      <c r="P66" s="58">
        <f>L66-O66</f>
        <v>-24</v>
      </c>
      <c r="Q66" s="65">
        <f>K66+P66</f>
        <v>-24</v>
      </c>
      <c r="R66" s="61">
        <v>160</v>
      </c>
      <c r="S66" s="61">
        <v>176</v>
      </c>
      <c r="T66" s="61">
        <v>8</v>
      </c>
      <c r="U66" s="61">
        <f>S66+T66</f>
        <v>184</v>
      </c>
      <c r="V66" s="61">
        <f>R66-U66</f>
        <v>-24</v>
      </c>
      <c r="W66" s="72">
        <f>Q66+V66</f>
        <v>-48</v>
      </c>
      <c r="X66" s="70">
        <v>160</v>
      </c>
      <c r="Y66" s="70">
        <v>168</v>
      </c>
      <c r="Z66" s="70"/>
      <c r="AA66" s="70">
        <f>Y66+Z66</f>
        <v>168</v>
      </c>
      <c r="AB66" s="70">
        <f>X66-AA66</f>
        <v>-8</v>
      </c>
      <c r="AC66" s="73">
        <f>W66+AB66</f>
        <v>-56</v>
      </c>
      <c r="AD66" s="77">
        <v>160</v>
      </c>
      <c r="AE66" s="77">
        <v>176</v>
      </c>
      <c r="AF66" s="77"/>
      <c r="AG66" s="77">
        <f>AE66+AF66</f>
        <v>176</v>
      </c>
      <c r="AH66" s="77">
        <f>AD66-AG66</f>
        <v>-16</v>
      </c>
      <c r="AI66" s="84">
        <f>AC66+AH66</f>
        <v>-72</v>
      </c>
      <c r="AJ66" s="80">
        <v>160</v>
      </c>
      <c r="AK66" s="80">
        <v>184</v>
      </c>
      <c r="AL66" s="80"/>
      <c r="AM66" s="80">
        <f>AK66+AL66</f>
        <v>184</v>
      </c>
      <c r="AN66" s="80">
        <f>AJ66-AM66</f>
        <v>-24</v>
      </c>
      <c r="AO66" s="80">
        <f>AI66+AN66</f>
        <v>-96</v>
      </c>
      <c r="AP66" s="82">
        <v>160</v>
      </c>
      <c r="AQ66" s="82">
        <v>112</v>
      </c>
      <c r="AR66" s="82">
        <v>40</v>
      </c>
      <c r="AS66" s="82">
        <f>AQ66+AR66</f>
        <v>152</v>
      </c>
      <c r="AT66" s="82">
        <f>AP66-AS66</f>
        <v>8</v>
      </c>
      <c r="AU66" s="82">
        <f>AO66+AT66</f>
        <v>-88</v>
      </c>
      <c r="AV66" s="77">
        <v>160</v>
      </c>
      <c r="AW66" s="77">
        <v>176</v>
      </c>
      <c r="AX66" s="77">
        <v>16</v>
      </c>
      <c r="AY66" s="77">
        <f>AW66+AX66</f>
        <v>192</v>
      </c>
      <c r="AZ66" s="77">
        <f>AV66-AY66</f>
        <v>-32</v>
      </c>
      <c r="BA66" s="77">
        <f>AU66+AZ66</f>
        <v>-120</v>
      </c>
      <c r="BB66" s="58">
        <v>160</v>
      </c>
      <c r="BC66" s="58"/>
      <c r="BD66" s="58"/>
      <c r="BE66" s="58">
        <v>0</v>
      </c>
      <c r="BF66" s="58">
        <v>160</v>
      </c>
      <c r="BG66" s="58">
        <v>960</v>
      </c>
      <c r="BH66" s="77">
        <v>160</v>
      </c>
      <c r="BI66" s="77"/>
      <c r="BJ66" s="77"/>
      <c r="BK66" s="77">
        <v>0</v>
      </c>
      <c r="BL66" s="77">
        <v>160</v>
      </c>
      <c r="BM66" s="77">
        <v>960</v>
      </c>
      <c r="BN66" s="80">
        <v>160</v>
      </c>
      <c r="BO66" s="80"/>
      <c r="BP66" s="80"/>
      <c r="BQ66" s="80">
        <v>0</v>
      </c>
      <c r="BR66" s="80">
        <v>160</v>
      </c>
      <c r="BS66" s="80">
        <v>960</v>
      </c>
    </row>
    <row r="67" spans="1:71">
      <c r="A67" s="17" t="s">
        <v>63</v>
      </c>
      <c r="B67" s="18" t="s">
        <v>97</v>
      </c>
      <c r="C67" s="22">
        <v>18123560</v>
      </c>
      <c r="D67" s="19">
        <v>46055</v>
      </c>
      <c r="E67" s="35">
        <v>46355</v>
      </c>
      <c r="F67" s="40">
        <f>(DAY(D67)-30-1)*-1</f>
        <v>29</v>
      </c>
      <c r="G67" s="41">
        <v>152</v>
      </c>
      <c r="H67" s="32">
        <v>152</v>
      </c>
      <c r="I67" s="32">
        <v>0</v>
      </c>
      <c r="J67" s="32">
        <f>H67+I67</f>
        <v>152</v>
      </c>
      <c r="K67" s="42">
        <f>G67-J67</f>
        <v>0</v>
      </c>
      <c r="L67" s="58">
        <v>160</v>
      </c>
      <c r="M67" s="58">
        <v>160</v>
      </c>
      <c r="N67" s="58">
        <v>8</v>
      </c>
      <c r="O67" s="58">
        <f>M67+N67</f>
        <v>168</v>
      </c>
      <c r="P67" s="58">
        <f>L67-O67</f>
        <v>-8</v>
      </c>
      <c r="Q67" s="65">
        <f>K67+P67</f>
        <v>-8</v>
      </c>
      <c r="R67" s="61">
        <v>160</v>
      </c>
      <c r="S67" s="61">
        <v>160</v>
      </c>
      <c r="T67" s="61">
        <v>8</v>
      </c>
      <c r="U67" s="61">
        <f>S67+T67</f>
        <v>168</v>
      </c>
      <c r="V67" s="61">
        <f>R67-U67</f>
        <v>-8</v>
      </c>
      <c r="W67" s="72">
        <f>Q67+V67</f>
        <v>-16</v>
      </c>
      <c r="X67" s="70">
        <v>160</v>
      </c>
      <c r="Y67" s="70">
        <v>164</v>
      </c>
      <c r="Z67" s="70"/>
      <c r="AA67" s="70">
        <f>Y67+Z67</f>
        <v>164</v>
      </c>
      <c r="AB67" s="70">
        <f>X67-AA67</f>
        <v>-4</v>
      </c>
      <c r="AC67" s="73">
        <f>W67+AB67</f>
        <v>-20</v>
      </c>
      <c r="AD67" s="77">
        <v>160</v>
      </c>
      <c r="AE67" s="77">
        <v>176</v>
      </c>
      <c r="AF67" s="77"/>
      <c r="AG67" s="77">
        <f>AE67+AF67</f>
        <v>176</v>
      </c>
      <c r="AH67" s="77">
        <f>AD67-AG67</f>
        <v>-16</v>
      </c>
      <c r="AI67" s="84">
        <f>AC67+AH67</f>
        <v>-36</v>
      </c>
      <c r="AJ67" s="80">
        <v>160</v>
      </c>
      <c r="AK67" s="80">
        <v>184</v>
      </c>
      <c r="AL67" s="80"/>
      <c r="AM67" s="80">
        <f>AK67+AL67</f>
        <v>184</v>
      </c>
      <c r="AN67" s="80">
        <f>AJ67-AM67</f>
        <v>-24</v>
      </c>
      <c r="AO67" s="80">
        <f>AI67+AN67</f>
        <v>-60</v>
      </c>
      <c r="AP67" s="82">
        <v>160</v>
      </c>
      <c r="AQ67" s="82">
        <v>112</v>
      </c>
      <c r="AR67" s="82">
        <v>36</v>
      </c>
      <c r="AS67" s="82">
        <f>AQ67+AR67</f>
        <v>148</v>
      </c>
      <c r="AT67" s="82">
        <f>AP67-AS67</f>
        <v>12</v>
      </c>
      <c r="AU67" s="82">
        <f>AO67+AT67</f>
        <v>-48</v>
      </c>
      <c r="AV67" s="77">
        <v>160</v>
      </c>
      <c r="AW67" s="77">
        <v>176</v>
      </c>
      <c r="AX67" s="77">
        <v>20</v>
      </c>
      <c r="AY67" s="77">
        <f>AW67+AX67</f>
        <v>196</v>
      </c>
      <c r="AZ67" s="77">
        <f>AV67-AY67</f>
        <v>-36</v>
      </c>
      <c r="BA67" s="77">
        <f>AU67+AZ67</f>
        <v>-84</v>
      </c>
      <c r="BB67" s="58">
        <v>160</v>
      </c>
      <c r="BC67" s="58"/>
      <c r="BD67" s="58"/>
      <c r="BE67" s="58">
        <v>0</v>
      </c>
      <c r="BF67" s="58">
        <v>160</v>
      </c>
      <c r="BG67" s="58">
        <v>960</v>
      </c>
      <c r="BH67" s="77">
        <v>160</v>
      </c>
      <c r="BI67" s="77"/>
      <c r="BJ67" s="77"/>
      <c r="BK67" s="77">
        <v>0</v>
      </c>
      <c r="BL67" s="77">
        <v>160</v>
      </c>
      <c r="BM67" s="77">
        <v>960</v>
      </c>
      <c r="BN67" s="80">
        <v>160</v>
      </c>
      <c r="BO67" s="80"/>
      <c r="BP67" s="80"/>
      <c r="BQ67" s="80">
        <v>0</v>
      </c>
      <c r="BR67" s="80">
        <v>160</v>
      </c>
      <c r="BS67" s="80">
        <v>960</v>
      </c>
    </row>
    <row r="68" spans="1:71">
      <c r="A68" s="25" t="s">
        <v>98</v>
      </c>
      <c r="B68" s="26" t="s">
        <v>99</v>
      </c>
      <c r="C68" s="27">
        <v>34545287</v>
      </c>
      <c r="D68" s="28">
        <v>46055</v>
      </c>
      <c r="E68" s="36">
        <v>46355</v>
      </c>
      <c r="F68" s="40">
        <f>(DAY(D68)-30-1)*-1</f>
        <v>29</v>
      </c>
      <c r="G68" s="41">
        <v>152</v>
      </c>
      <c r="H68" s="32">
        <v>128</v>
      </c>
      <c r="I68" s="32">
        <v>24</v>
      </c>
      <c r="J68" s="32">
        <f>H68+I68</f>
        <v>152</v>
      </c>
      <c r="K68" s="42">
        <f>G68-J68</f>
        <v>0</v>
      </c>
      <c r="L68" s="58">
        <v>160</v>
      </c>
      <c r="M68" s="58">
        <v>160</v>
      </c>
      <c r="N68" s="58">
        <v>8</v>
      </c>
      <c r="O68" s="58">
        <f>M68+N68</f>
        <v>168</v>
      </c>
      <c r="P68" s="58">
        <f>L68-O68</f>
        <v>-8</v>
      </c>
      <c r="Q68" s="65">
        <f>K68+P68</f>
        <v>-8</v>
      </c>
      <c r="R68" s="61">
        <v>160</v>
      </c>
      <c r="S68" s="61">
        <v>168</v>
      </c>
      <c r="T68" s="61">
        <v>8</v>
      </c>
      <c r="U68" s="61">
        <f>S68+T68</f>
        <v>176</v>
      </c>
      <c r="V68" s="61">
        <f>R68-U68</f>
        <v>-16</v>
      </c>
      <c r="W68" s="72">
        <f>Q68+V68</f>
        <v>-24</v>
      </c>
      <c r="X68" s="70">
        <v>160</v>
      </c>
      <c r="Y68" s="70">
        <v>160</v>
      </c>
      <c r="Z68" s="70"/>
      <c r="AA68" s="70">
        <f>Y68+Z68</f>
        <v>160</v>
      </c>
      <c r="AB68" s="70">
        <f>X68-AA68</f>
        <v>0</v>
      </c>
      <c r="AC68" s="73">
        <f>W68+AB68</f>
        <v>-24</v>
      </c>
      <c r="AD68" s="77">
        <v>160</v>
      </c>
      <c r="AE68" s="77">
        <v>160</v>
      </c>
      <c r="AF68" s="77"/>
      <c r="AG68" s="77">
        <f>AE68+AF68</f>
        <v>160</v>
      </c>
      <c r="AH68" s="77">
        <f>AD68-AG68</f>
        <v>0</v>
      </c>
      <c r="AI68" s="84">
        <f>AC68+AH68</f>
        <v>-24</v>
      </c>
      <c r="AJ68" s="80">
        <v>160</v>
      </c>
      <c r="AK68" s="80">
        <v>160</v>
      </c>
      <c r="AL68" s="80"/>
      <c r="AM68" s="80">
        <f>AK68+AL68</f>
        <v>160</v>
      </c>
      <c r="AN68" s="80">
        <f>AJ68-AM68</f>
        <v>0</v>
      </c>
      <c r="AO68" s="80">
        <f>AI68+AN68</f>
        <v>-24</v>
      </c>
      <c r="AP68" s="82">
        <v>160</v>
      </c>
      <c r="AQ68" s="82">
        <v>160</v>
      </c>
      <c r="AR68" s="82"/>
      <c r="AS68" s="82">
        <f>AQ68+AR68</f>
        <v>160</v>
      </c>
      <c r="AT68" s="82">
        <f>AP68-AS68</f>
        <v>0</v>
      </c>
      <c r="AU68" s="82">
        <f>AO68+AT68</f>
        <v>-24</v>
      </c>
      <c r="AV68" s="77">
        <v>160</v>
      </c>
      <c r="AW68" s="77">
        <v>160</v>
      </c>
      <c r="AX68" s="77"/>
      <c r="AY68" s="77">
        <f>AW68+AX68</f>
        <v>160</v>
      </c>
      <c r="AZ68" s="77">
        <f>AV68-AY68</f>
        <v>0</v>
      </c>
      <c r="BA68" s="77">
        <f>AU68+AZ68</f>
        <v>-24</v>
      </c>
      <c r="BB68" s="58">
        <v>160</v>
      </c>
      <c r="BC68" s="58"/>
      <c r="BD68" s="58"/>
      <c r="BE68" s="58">
        <v>0</v>
      </c>
      <c r="BF68" s="58">
        <v>160</v>
      </c>
      <c r="BG68" s="58">
        <v>960</v>
      </c>
      <c r="BH68" s="77">
        <v>160</v>
      </c>
      <c r="BI68" s="77"/>
      <c r="BJ68" s="77"/>
      <c r="BK68" s="77">
        <v>0</v>
      </c>
      <c r="BL68" s="77">
        <v>160</v>
      </c>
      <c r="BM68" s="77">
        <v>960</v>
      </c>
      <c r="BN68" s="80">
        <v>160</v>
      </c>
      <c r="BO68" s="80"/>
      <c r="BP68" s="80"/>
      <c r="BQ68" s="80">
        <v>0</v>
      </c>
      <c r="BR68" s="80">
        <v>160</v>
      </c>
      <c r="BS68" s="80">
        <v>960</v>
      </c>
    </row>
    <row r="69" spans="1:71">
      <c r="A69" s="29" t="s">
        <v>98</v>
      </c>
      <c r="B69" s="4" t="s">
        <v>100</v>
      </c>
      <c r="C69" s="9">
        <v>34566055</v>
      </c>
      <c r="D69" s="12">
        <v>46055</v>
      </c>
      <c r="E69" s="33">
        <v>46355</v>
      </c>
      <c r="F69" s="40">
        <f>(DAY(D69)-30-1)*-1</f>
        <v>29</v>
      </c>
      <c r="G69" s="41">
        <v>152</v>
      </c>
      <c r="H69" s="32">
        <v>136</v>
      </c>
      <c r="I69" s="32">
        <v>16</v>
      </c>
      <c r="J69" s="32">
        <f>H69+I69</f>
        <v>152</v>
      </c>
      <c r="K69" s="42">
        <f>G69-J69</f>
        <v>0</v>
      </c>
      <c r="L69" s="58">
        <v>160</v>
      </c>
      <c r="M69" s="63">
        <v>160</v>
      </c>
      <c r="N69" s="58">
        <v>0</v>
      </c>
      <c r="O69" s="58">
        <f>M69+N69</f>
        <v>160</v>
      </c>
      <c r="P69" s="58">
        <f>L69-O69</f>
        <v>0</v>
      </c>
      <c r="Q69" s="65">
        <f>K69+P69</f>
        <v>0</v>
      </c>
      <c r="R69" s="61">
        <v>160</v>
      </c>
      <c r="S69" s="61">
        <v>160</v>
      </c>
      <c r="T69" s="61">
        <v>8</v>
      </c>
      <c r="U69" s="61">
        <f>S69+T69</f>
        <v>168</v>
      </c>
      <c r="V69" s="61">
        <f>R69-U69</f>
        <v>-8</v>
      </c>
      <c r="W69" s="72">
        <f>Q69+V69</f>
        <v>-8</v>
      </c>
      <c r="X69" s="70">
        <v>160</v>
      </c>
      <c r="Y69" s="70">
        <v>160</v>
      </c>
      <c r="Z69" s="70"/>
      <c r="AA69" s="70">
        <f>Y69+Z69</f>
        <v>160</v>
      </c>
      <c r="AB69" s="70">
        <f>X69-AA69</f>
        <v>0</v>
      </c>
      <c r="AC69" s="73">
        <f>W69+AB69</f>
        <v>-8</v>
      </c>
      <c r="AD69" s="77">
        <v>160</v>
      </c>
      <c r="AE69" s="77">
        <v>168</v>
      </c>
      <c r="AF69" s="77"/>
      <c r="AG69" s="77">
        <f>AE69+AF69</f>
        <v>168</v>
      </c>
      <c r="AH69" s="77">
        <f>AD69-AG69</f>
        <v>-8</v>
      </c>
      <c r="AI69" s="84">
        <f>AC69+AH69</f>
        <v>-16</v>
      </c>
      <c r="AJ69" s="80">
        <v>160</v>
      </c>
      <c r="AK69" s="80">
        <v>152</v>
      </c>
      <c r="AL69" s="80"/>
      <c r="AM69" s="80">
        <f>AK69+AL69</f>
        <v>152</v>
      </c>
      <c r="AN69" s="80">
        <f>AJ69-AM69</f>
        <v>8</v>
      </c>
      <c r="AO69" s="80">
        <f>AI69+AN69</f>
        <v>-8</v>
      </c>
      <c r="AP69" s="82">
        <v>160</v>
      </c>
      <c r="AQ69" s="82">
        <v>168</v>
      </c>
      <c r="AR69" s="82"/>
      <c r="AS69" s="82">
        <f>AQ69+AR69</f>
        <v>168</v>
      </c>
      <c r="AT69" s="82">
        <f>AP69-AS69</f>
        <v>-8</v>
      </c>
      <c r="AU69" s="82">
        <f>AO69+AT69</f>
        <v>-16</v>
      </c>
      <c r="AV69" s="77">
        <v>160</v>
      </c>
      <c r="AW69" s="77">
        <v>152</v>
      </c>
      <c r="AX69" s="77"/>
      <c r="AY69" s="77">
        <f>AW69+AX69</f>
        <v>152</v>
      </c>
      <c r="AZ69" s="77">
        <f>AV69-AY69</f>
        <v>8</v>
      </c>
      <c r="BA69" s="77">
        <f>AU69+AZ69</f>
        <v>-8</v>
      </c>
      <c r="BB69" s="58">
        <v>160</v>
      </c>
      <c r="BC69" s="58"/>
      <c r="BD69" s="58"/>
      <c r="BE69" s="58">
        <v>0</v>
      </c>
      <c r="BF69" s="58">
        <v>160</v>
      </c>
      <c r="BG69" s="58">
        <v>960</v>
      </c>
      <c r="BH69" s="77">
        <v>160</v>
      </c>
      <c r="BI69" s="77"/>
      <c r="BJ69" s="77"/>
      <c r="BK69" s="77">
        <v>0</v>
      </c>
      <c r="BL69" s="77">
        <v>160</v>
      </c>
      <c r="BM69" s="77">
        <v>960</v>
      </c>
      <c r="BN69" s="80">
        <v>160</v>
      </c>
      <c r="BO69" s="80"/>
      <c r="BP69" s="80"/>
      <c r="BQ69" s="80">
        <v>0</v>
      </c>
      <c r="BR69" s="80">
        <v>160</v>
      </c>
      <c r="BS69" s="80">
        <v>960</v>
      </c>
    </row>
    <row r="70" spans="1:71">
      <c r="A70" s="29" t="s">
        <v>98</v>
      </c>
      <c r="B70" s="4" t="s">
        <v>101</v>
      </c>
      <c r="C70" s="9">
        <v>34570812</v>
      </c>
      <c r="D70" s="12">
        <v>46055</v>
      </c>
      <c r="E70" s="33">
        <v>46355</v>
      </c>
      <c r="F70" s="40">
        <f>(DAY(D70)-30-1)*-1</f>
        <v>29</v>
      </c>
      <c r="G70" s="41">
        <v>152</v>
      </c>
      <c r="H70" s="32">
        <v>128</v>
      </c>
      <c r="I70" s="32">
        <v>24</v>
      </c>
      <c r="J70" s="32">
        <f>H70+I70</f>
        <v>152</v>
      </c>
      <c r="K70" s="42">
        <f>G70-J70</f>
        <v>0</v>
      </c>
      <c r="L70" s="58">
        <v>160</v>
      </c>
      <c r="M70" s="58">
        <v>160</v>
      </c>
      <c r="N70" s="58">
        <v>8</v>
      </c>
      <c r="O70" s="58">
        <f>M70+N70</f>
        <v>168</v>
      </c>
      <c r="P70" s="58">
        <f>L70-O70</f>
        <v>-8</v>
      </c>
      <c r="Q70" s="65">
        <f>K70+P70</f>
        <v>-8</v>
      </c>
      <c r="R70" s="61">
        <v>160</v>
      </c>
      <c r="S70" s="61">
        <v>160</v>
      </c>
      <c r="T70" s="61">
        <v>8</v>
      </c>
      <c r="U70" s="61">
        <f>S70+T70</f>
        <v>168</v>
      </c>
      <c r="V70" s="61">
        <f>R70-U70</f>
        <v>-8</v>
      </c>
      <c r="W70" s="72">
        <f>Q70+V70</f>
        <v>-16</v>
      </c>
      <c r="X70" s="70">
        <v>160</v>
      </c>
      <c r="Y70" s="104">
        <v>160</v>
      </c>
      <c r="Z70" s="70"/>
      <c r="AA70" s="70">
        <f>Y70+Z70</f>
        <v>160</v>
      </c>
      <c r="AB70" s="70">
        <f>X70-AA70</f>
        <v>0</v>
      </c>
      <c r="AC70" s="73">
        <f>W70+AB70</f>
        <v>-16</v>
      </c>
      <c r="AD70" s="77">
        <v>160</v>
      </c>
      <c r="AE70" s="77">
        <v>160</v>
      </c>
      <c r="AF70" s="77"/>
      <c r="AG70" s="77">
        <f>AE70+AF70</f>
        <v>160</v>
      </c>
      <c r="AH70" s="77">
        <f>AD70-AG70</f>
        <v>0</v>
      </c>
      <c r="AI70" s="84">
        <f>AC70+AH70</f>
        <v>-16</v>
      </c>
      <c r="AJ70" s="80">
        <v>160</v>
      </c>
      <c r="AK70" s="80">
        <v>160</v>
      </c>
      <c r="AL70" s="80"/>
      <c r="AM70" s="80">
        <f>AK70+AL70</f>
        <v>160</v>
      </c>
      <c r="AN70" s="80">
        <f>AJ70-AM70</f>
        <v>0</v>
      </c>
      <c r="AO70" s="80">
        <f>AI70+AN70</f>
        <v>-16</v>
      </c>
      <c r="AP70" s="82">
        <v>160</v>
      </c>
      <c r="AQ70" s="82">
        <v>160</v>
      </c>
      <c r="AR70" s="82"/>
      <c r="AS70" s="82">
        <f>AQ70+AR70</f>
        <v>160</v>
      </c>
      <c r="AT70" s="82">
        <f>AP70-AS70</f>
        <v>0</v>
      </c>
      <c r="AU70" s="82">
        <f>AO70+AT70</f>
        <v>-16</v>
      </c>
      <c r="AV70" s="77">
        <v>160</v>
      </c>
      <c r="AW70" s="77">
        <v>160</v>
      </c>
      <c r="AX70" s="77"/>
      <c r="AY70" s="77">
        <f>AW70+AX70</f>
        <v>160</v>
      </c>
      <c r="AZ70" s="77">
        <f>AV70-AY70</f>
        <v>0</v>
      </c>
      <c r="BA70" s="77">
        <f>AU70+AZ70</f>
        <v>-16</v>
      </c>
      <c r="BB70" s="58">
        <v>160</v>
      </c>
      <c r="BC70" s="58"/>
      <c r="BD70" s="58"/>
      <c r="BE70" s="58">
        <v>0</v>
      </c>
      <c r="BF70" s="58">
        <v>160</v>
      </c>
      <c r="BG70" s="58">
        <v>960</v>
      </c>
      <c r="BH70" s="77">
        <v>160</v>
      </c>
      <c r="BI70" s="77"/>
      <c r="BJ70" s="77"/>
      <c r="BK70" s="77">
        <v>0</v>
      </c>
      <c r="BL70" s="77">
        <v>160</v>
      </c>
      <c r="BM70" s="77">
        <v>960</v>
      </c>
      <c r="BN70" s="80">
        <v>160</v>
      </c>
      <c r="BO70" s="80"/>
      <c r="BP70" s="80"/>
      <c r="BQ70" s="80">
        <v>0</v>
      </c>
      <c r="BR70" s="80">
        <v>160</v>
      </c>
      <c r="BS70" s="80">
        <v>960</v>
      </c>
    </row>
    <row r="71" spans="1:71">
      <c r="A71" s="29" t="s">
        <v>98</v>
      </c>
      <c r="B71" s="4" t="s">
        <v>102</v>
      </c>
      <c r="C71" s="9">
        <v>1085312523</v>
      </c>
      <c r="D71" s="12">
        <v>46055</v>
      </c>
      <c r="E71" s="33">
        <v>46355</v>
      </c>
      <c r="F71" s="40">
        <f>(DAY(D71)-30-1)*-1</f>
        <v>29</v>
      </c>
      <c r="G71" s="41">
        <v>152</v>
      </c>
      <c r="H71" s="32">
        <v>128</v>
      </c>
      <c r="I71" s="32">
        <v>24</v>
      </c>
      <c r="J71" s="32">
        <f>H71+I71</f>
        <v>152</v>
      </c>
      <c r="K71" s="42">
        <f>G71-J71</f>
        <v>0</v>
      </c>
      <c r="L71" s="58">
        <v>160</v>
      </c>
      <c r="M71" s="64">
        <v>160</v>
      </c>
      <c r="N71" s="58">
        <v>8</v>
      </c>
      <c r="O71" s="58">
        <f>M71+N71</f>
        <v>168</v>
      </c>
      <c r="P71" s="58">
        <f>L71-O71</f>
        <v>-8</v>
      </c>
      <c r="Q71" s="65">
        <f>K71+P71</f>
        <v>-8</v>
      </c>
      <c r="R71" s="61">
        <v>160</v>
      </c>
      <c r="S71" s="61">
        <v>160</v>
      </c>
      <c r="T71" s="61">
        <v>8</v>
      </c>
      <c r="U71" s="61">
        <f>S71+T71</f>
        <v>168</v>
      </c>
      <c r="V71" s="61">
        <f>R71-U71</f>
        <v>-8</v>
      </c>
      <c r="W71" s="72">
        <f>Q71+V71</f>
        <v>-16</v>
      </c>
      <c r="X71" s="122">
        <v>160</v>
      </c>
      <c r="Y71" s="70">
        <v>160</v>
      </c>
      <c r="Z71" s="123"/>
      <c r="AA71" s="70">
        <f>Y71+Z71</f>
        <v>160</v>
      </c>
      <c r="AB71" s="70">
        <f>X71-AA71</f>
        <v>0</v>
      </c>
      <c r="AC71" s="73">
        <f>W71+AB71</f>
        <v>-16</v>
      </c>
      <c r="AD71" s="77">
        <v>160</v>
      </c>
      <c r="AE71" s="77">
        <v>160</v>
      </c>
      <c r="AF71" s="77"/>
      <c r="AG71" s="77">
        <f>AE71+AF71</f>
        <v>160</v>
      </c>
      <c r="AH71" s="77">
        <f>AD71-AG71</f>
        <v>0</v>
      </c>
      <c r="AI71" s="84">
        <f>AC71+AH71</f>
        <v>-16</v>
      </c>
      <c r="AJ71" s="80">
        <v>160</v>
      </c>
      <c r="AK71" s="80">
        <v>160</v>
      </c>
      <c r="AL71" s="80"/>
      <c r="AM71" s="80">
        <f>AK71+AL71</f>
        <v>160</v>
      </c>
      <c r="AN71" s="80">
        <f>AJ71-AM71</f>
        <v>0</v>
      </c>
      <c r="AO71" s="80">
        <f>AI71+AN71</f>
        <v>-16</v>
      </c>
      <c r="AP71" s="82">
        <v>160</v>
      </c>
      <c r="AQ71" s="82">
        <v>160</v>
      </c>
      <c r="AR71" s="82"/>
      <c r="AS71" s="82">
        <f>AQ71+AR71</f>
        <v>160</v>
      </c>
      <c r="AT71" s="82">
        <f>AP71-AS71</f>
        <v>0</v>
      </c>
      <c r="AU71" s="82">
        <f>AO71+AT71</f>
        <v>-16</v>
      </c>
      <c r="AV71" s="77">
        <v>160</v>
      </c>
      <c r="AW71" s="77">
        <v>160</v>
      </c>
      <c r="AX71" s="77"/>
      <c r="AY71" s="77">
        <f>AW71+AX71</f>
        <v>160</v>
      </c>
      <c r="AZ71" s="77">
        <f>AV71-AY71</f>
        <v>0</v>
      </c>
      <c r="BA71" s="77">
        <f>AU71+AZ71</f>
        <v>-16</v>
      </c>
      <c r="BB71" s="58">
        <v>160</v>
      </c>
      <c r="BC71" s="58"/>
      <c r="BD71" s="58"/>
      <c r="BE71" s="58">
        <v>0</v>
      </c>
      <c r="BF71" s="58">
        <v>160</v>
      </c>
      <c r="BG71" s="58">
        <v>960</v>
      </c>
      <c r="BH71" s="77">
        <v>160</v>
      </c>
      <c r="BI71" s="77"/>
      <c r="BJ71" s="77"/>
      <c r="BK71" s="77">
        <v>0</v>
      </c>
      <c r="BL71" s="77">
        <v>160</v>
      </c>
      <c r="BM71" s="77">
        <v>960</v>
      </c>
      <c r="BN71" s="80">
        <v>160</v>
      </c>
      <c r="BO71" s="80"/>
      <c r="BP71" s="80"/>
      <c r="BQ71" s="80">
        <v>0</v>
      </c>
      <c r="BR71" s="80">
        <v>160</v>
      </c>
      <c r="BS71" s="80">
        <v>960</v>
      </c>
    </row>
    <row r="72" spans="1:71">
      <c r="A72" s="29" t="s">
        <v>98</v>
      </c>
      <c r="B72" s="4" t="s">
        <v>103</v>
      </c>
      <c r="C72" s="9">
        <v>34547920</v>
      </c>
      <c r="D72" s="12">
        <v>46055</v>
      </c>
      <c r="E72" s="33">
        <v>46369</v>
      </c>
      <c r="F72" s="40">
        <f>(DAY(D72)-30-1)*-1</f>
        <v>29</v>
      </c>
      <c r="G72" s="41">
        <v>152</v>
      </c>
      <c r="H72" s="32">
        <v>128</v>
      </c>
      <c r="I72" s="32">
        <v>24</v>
      </c>
      <c r="J72" s="32">
        <f>H72+I72</f>
        <v>152</v>
      </c>
      <c r="K72" s="42">
        <f>G72-J72</f>
        <v>0</v>
      </c>
      <c r="L72" s="58">
        <v>160</v>
      </c>
      <c r="M72" s="63">
        <v>176</v>
      </c>
      <c r="N72" s="58">
        <v>8</v>
      </c>
      <c r="O72" s="58">
        <f>M72+N72</f>
        <v>184</v>
      </c>
      <c r="P72" s="58">
        <f>L72-O72</f>
        <v>-24</v>
      </c>
      <c r="Q72" s="65">
        <f>K72+P72</f>
        <v>-24</v>
      </c>
      <c r="R72" s="61">
        <v>160</v>
      </c>
      <c r="S72" s="61">
        <v>172</v>
      </c>
      <c r="T72" s="61">
        <v>8</v>
      </c>
      <c r="U72" s="61">
        <f>S72+T72</f>
        <v>180</v>
      </c>
      <c r="V72" s="61">
        <f>R72-U72</f>
        <v>-20</v>
      </c>
      <c r="W72" s="72">
        <f>Q72+V72</f>
        <v>-44</v>
      </c>
      <c r="X72" s="70">
        <v>160</v>
      </c>
      <c r="Y72" s="114">
        <v>160</v>
      </c>
      <c r="Z72" s="70"/>
      <c r="AA72" s="70">
        <f>Y72+Z72</f>
        <v>160</v>
      </c>
      <c r="AB72" s="70">
        <f>X72-AA72</f>
        <v>0</v>
      </c>
      <c r="AC72" s="73">
        <f>W72+AB72</f>
        <v>-44</v>
      </c>
      <c r="AD72" s="77">
        <v>160</v>
      </c>
      <c r="AE72" s="77">
        <v>160</v>
      </c>
      <c r="AF72" s="77"/>
      <c r="AG72" s="77">
        <f>AE72+AF72</f>
        <v>160</v>
      </c>
      <c r="AH72" s="77">
        <f>AD72-AG72</f>
        <v>0</v>
      </c>
      <c r="AI72" s="84">
        <f>AC72+AH72</f>
        <v>-44</v>
      </c>
      <c r="AJ72" s="80">
        <v>160</v>
      </c>
      <c r="AK72" s="80">
        <v>168</v>
      </c>
      <c r="AL72" s="80"/>
      <c r="AM72" s="80">
        <f>AK72+AL72</f>
        <v>168</v>
      </c>
      <c r="AN72" s="80">
        <f>AJ72-AM72</f>
        <v>-8</v>
      </c>
      <c r="AO72" s="80">
        <f>AI72+AN72</f>
        <v>-52</v>
      </c>
      <c r="AP72" s="82">
        <v>160</v>
      </c>
      <c r="AQ72" s="82">
        <v>164</v>
      </c>
      <c r="AR72" s="82"/>
      <c r="AS72" s="82">
        <f>AQ72+AR72</f>
        <v>164</v>
      </c>
      <c r="AT72" s="82">
        <f>AP72-AS72</f>
        <v>-4</v>
      </c>
      <c r="AU72" s="82">
        <f>AO72+AT72</f>
        <v>-56</v>
      </c>
      <c r="AV72" s="77">
        <v>160</v>
      </c>
      <c r="AW72" s="77">
        <v>160</v>
      </c>
      <c r="AX72" s="77"/>
      <c r="AY72" s="77">
        <f>AW72+AX72</f>
        <v>160</v>
      </c>
      <c r="AZ72" s="77">
        <f>AV72-AY72</f>
        <v>0</v>
      </c>
      <c r="BA72" s="77">
        <f>AU72+AZ72</f>
        <v>-56</v>
      </c>
      <c r="BB72" s="58">
        <v>160</v>
      </c>
      <c r="BC72" s="58"/>
      <c r="BD72" s="58"/>
      <c r="BE72" s="58">
        <v>0</v>
      </c>
      <c r="BF72" s="58">
        <v>160</v>
      </c>
      <c r="BG72" s="58">
        <v>960</v>
      </c>
      <c r="BH72" s="77">
        <v>160</v>
      </c>
      <c r="BI72" s="77"/>
      <c r="BJ72" s="77"/>
      <c r="BK72" s="77">
        <v>0</v>
      </c>
      <c r="BL72" s="77">
        <v>160</v>
      </c>
      <c r="BM72" s="77">
        <v>960</v>
      </c>
      <c r="BN72" s="80">
        <v>160</v>
      </c>
      <c r="BO72" s="80"/>
      <c r="BP72" s="80"/>
      <c r="BQ72" s="80">
        <v>0</v>
      </c>
      <c r="BR72" s="80">
        <v>160</v>
      </c>
      <c r="BS72" s="80">
        <v>960</v>
      </c>
    </row>
    <row r="73" spans="1:71">
      <c r="A73" s="29" t="s">
        <v>98</v>
      </c>
      <c r="B73" s="4" t="s">
        <v>104</v>
      </c>
      <c r="C73" s="9">
        <v>34548906</v>
      </c>
      <c r="D73" s="30">
        <v>46055</v>
      </c>
      <c r="E73" s="33">
        <v>46369</v>
      </c>
      <c r="F73" s="40">
        <f>(DAY(D73)-30-1)*-1</f>
        <v>29</v>
      </c>
      <c r="G73" s="41">
        <v>152</v>
      </c>
      <c r="H73" s="32">
        <v>128</v>
      </c>
      <c r="I73" s="32">
        <v>24</v>
      </c>
      <c r="J73" s="32">
        <f>H73+I73</f>
        <v>152</v>
      </c>
      <c r="K73" s="42">
        <f>G73-J73</f>
        <v>0</v>
      </c>
      <c r="L73" s="58">
        <v>160</v>
      </c>
      <c r="M73" s="63">
        <v>152</v>
      </c>
      <c r="N73" s="58">
        <v>8</v>
      </c>
      <c r="O73" s="58">
        <f>M73+N73</f>
        <v>160</v>
      </c>
      <c r="P73" s="58">
        <f>L73-O73</f>
        <v>0</v>
      </c>
      <c r="Q73" s="65">
        <f>K73+P73</f>
        <v>0</v>
      </c>
      <c r="R73" s="61">
        <v>160</v>
      </c>
      <c r="S73" s="61">
        <v>160</v>
      </c>
      <c r="T73" s="61">
        <v>8</v>
      </c>
      <c r="U73" s="61">
        <f>S73+T73</f>
        <v>168</v>
      </c>
      <c r="V73" s="61">
        <f>R73-U73</f>
        <v>-8</v>
      </c>
      <c r="W73" s="72">
        <f>Q73+V73</f>
        <v>-8</v>
      </c>
      <c r="X73" s="70">
        <v>160</v>
      </c>
      <c r="Y73" s="70">
        <v>160</v>
      </c>
      <c r="Z73" s="70"/>
      <c r="AA73" s="70">
        <f>Y73+Z73</f>
        <v>160</v>
      </c>
      <c r="AB73" s="70">
        <f>X73-AA73</f>
        <v>0</v>
      </c>
      <c r="AC73" s="73">
        <f>W73+AB73</f>
        <v>-8</v>
      </c>
      <c r="AD73" s="77">
        <v>160</v>
      </c>
      <c r="AE73" s="77">
        <v>168</v>
      </c>
      <c r="AF73" s="77"/>
      <c r="AG73" s="77">
        <f>AE73+AF73</f>
        <v>168</v>
      </c>
      <c r="AH73" s="77">
        <f>AD73-AG73</f>
        <v>-8</v>
      </c>
      <c r="AI73" s="84">
        <f>AC73+AH73</f>
        <v>-16</v>
      </c>
      <c r="AJ73" s="80">
        <v>160</v>
      </c>
      <c r="AK73" s="80">
        <v>160</v>
      </c>
      <c r="AL73" s="80"/>
      <c r="AM73" s="80">
        <f>AK73+AL73</f>
        <v>160</v>
      </c>
      <c r="AN73" s="80">
        <f>AJ73-AM73</f>
        <v>0</v>
      </c>
      <c r="AO73" s="80">
        <f>AI73+AN73</f>
        <v>-16</v>
      </c>
      <c r="AP73" s="82">
        <v>160</v>
      </c>
      <c r="AQ73" s="82">
        <v>168</v>
      </c>
      <c r="AR73" s="82"/>
      <c r="AS73" s="82">
        <f>AQ73+AR73</f>
        <v>168</v>
      </c>
      <c r="AT73" s="82">
        <f>AP73-AS73</f>
        <v>-8</v>
      </c>
      <c r="AU73" s="82">
        <f>AO73+AT73</f>
        <v>-24</v>
      </c>
      <c r="AV73" s="77">
        <v>160</v>
      </c>
      <c r="AW73" s="77">
        <v>160</v>
      </c>
      <c r="AX73" s="77"/>
      <c r="AY73" s="77">
        <f>AW73+AX73</f>
        <v>160</v>
      </c>
      <c r="AZ73" s="77">
        <f>AV73-AY73</f>
        <v>0</v>
      </c>
      <c r="BA73" s="77">
        <f>AU73+AZ73</f>
        <v>-24</v>
      </c>
      <c r="BB73" s="58">
        <v>160</v>
      </c>
      <c r="BC73" s="58"/>
      <c r="BD73" s="58"/>
      <c r="BE73" s="58">
        <v>0</v>
      </c>
      <c r="BF73" s="58">
        <v>160</v>
      </c>
      <c r="BG73" s="58">
        <v>960</v>
      </c>
      <c r="BH73" s="77">
        <v>160</v>
      </c>
      <c r="BI73" s="77"/>
      <c r="BJ73" s="77"/>
      <c r="BK73" s="77">
        <v>0</v>
      </c>
      <c r="BL73" s="77">
        <v>160</v>
      </c>
      <c r="BM73" s="77">
        <v>960</v>
      </c>
      <c r="BN73" s="80">
        <v>160</v>
      </c>
      <c r="BO73" s="80"/>
      <c r="BP73" s="80"/>
      <c r="BQ73" s="80">
        <v>0</v>
      </c>
      <c r="BR73" s="80">
        <v>160</v>
      </c>
      <c r="BS73" s="80">
        <v>960</v>
      </c>
    </row>
    <row r="74" spans="1:71">
      <c r="A74" s="29" t="s">
        <v>98</v>
      </c>
      <c r="B74" s="4" t="s">
        <v>105</v>
      </c>
      <c r="C74" s="9">
        <v>1085302472</v>
      </c>
      <c r="D74" s="30">
        <v>46055</v>
      </c>
      <c r="E74" s="33">
        <v>46356</v>
      </c>
      <c r="F74" s="40">
        <f>(DAY(D74)-30-1)*-1</f>
        <v>29</v>
      </c>
      <c r="G74" s="41">
        <v>152</v>
      </c>
      <c r="H74" s="32">
        <v>142</v>
      </c>
      <c r="I74" s="32">
        <v>10</v>
      </c>
      <c r="J74" s="32">
        <f>H74+I74</f>
        <v>152</v>
      </c>
      <c r="K74" s="42">
        <f>G74-J74</f>
        <v>0</v>
      </c>
      <c r="L74" s="58">
        <v>160</v>
      </c>
      <c r="M74" s="58">
        <v>160</v>
      </c>
      <c r="N74" s="58">
        <v>8</v>
      </c>
      <c r="O74" s="58">
        <f>M74+N74</f>
        <v>168</v>
      </c>
      <c r="P74" s="58">
        <f>L74-O74</f>
        <v>-8</v>
      </c>
      <c r="Q74" s="65">
        <f>K74+P74</f>
        <v>-8</v>
      </c>
      <c r="R74" s="61">
        <v>160</v>
      </c>
      <c r="S74" s="61">
        <v>160</v>
      </c>
      <c r="T74" s="61">
        <v>8</v>
      </c>
      <c r="U74" s="61">
        <f>S74+T74</f>
        <v>168</v>
      </c>
      <c r="V74" s="61">
        <f>R74-U74</f>
        <v>-8</v>
      </c>
      <c r="W74" s="72">
        <f>Q74+V74</f>
        <v>-16</v>
      </c>
      <c r="X74" s="70">
        <v>160</v>
      </c>
      <c r="Y74" s="70">
        <v>160</v>
      </c>
      <c r="Z74" s="70"/>
      <c r="AA74" s="70">
        <f>Y74+Z74</f>
        <v>160</v>
      </c>
      <c r="AB74" s="70">
        <f>X74-AA74</f>
        <v>0</v>
      </c>
      <c r="AC74" s="73">
        <f>W74+AB74</f>
        <v>-16</v>
      </c>
      <c r="AD74" s="77">
        <v>160</v>
      </c>
      <c r="AE74" s="77">
        <v>164</v>
      </c>
      <c r="AF74" s="77"/>
      <c r="AG74" s="77">
        <f>AE74+AF74</f>
        <v>164</v>
      </c>
      <c r="AH74" s="77">
        <f>AD74-AG74</f>
        <v>-4</v>
      </c>
      <c r="AI74" s="84">
        <f>AC74+AH74</f>
        <v>-20</v>
      </c>
      <c r="AJ74" s="80">
        <v>160</v>
      </c>
      <c r="AK74" s="80">
        <v>168</v>
      </c>
      <c r="AL74" s="80"/>
      <c r="AM74" s="80">
        <f>AK74+AL74</f>
        <v>168</v>
      </c>
      <c r="AN74" s="80">
        <f>AJ74-AM74</f>
        <v>-8</v>
      </c>
      <c r="AO74" s="80">
        <f>AI74+AN74</f>
        <v>-28</v>
      </c>
      <c r="AP74" s="82">
        <v>160</v>
      </c>
      <c r="AQ74" s="82">
        <v>160</v>
      </c>
      <c r="AR74" s="82"/>
      <c r="AS74" s="82">
        <f>AQ74+AR74</f>
        <v>160</v>
      </c>
      <c r="AT74" s="82">
        <f>AP74-AS74</f>
        <v>0</v>
      </c>
      <c r="AU74" s="82">
        <f>AO74+AT74</f>
        <v>-28</v>
      </c>
      <c r="AV74" s="77">
        <v>160</v>
      </c>
      <c r="AW74" s="77">
        <v>160</v>
      </c>
      <c r="AX74" s="77"/>
      <c r="AY74" s="77">
        <f>AW74+AX74</f>
        <v>160</v>
      </c>
      <c r="AZ74" s="77">
        <f>AV74-AY74</f>
        <v>0</v>
      </c>
      <c r="BA74" s="77">
        <f>AU74+AZ74</f>
        <v>-28</v>
      </c>
      <c r="BB74" s="58">
        <v>160</v>
      </c>
      <c r="BC74" s="58"/>
      <c r="BD74" s="58"/>
      <c r="BE74" s="58">
        <v>0</v>
      </c>
      <c r="BF74" s="58">
        <v>160</v>
      </c>
      <c r="BG74" s="58">
        <v>960</v>
      </c>
      <c r="BH74" s="77">
        <v>160</v>
      </c>
      <c r="BI74" s="77"/>
      <c r="BJ74" s="77"/>
      <c r="BK74" s="77">
        <v>0</v>
      </c>
      <c r="BL74" s="77">
        <v>160</v>
      </c>
      <c r="BM74" s="77">
        <v>960</v>
      </c>
      <c r="BN74" s="80">
        <v>160</v>
      </c>
      <c r="BO74" s="80"/>
      <c r="BP74" s="80"/>
      <c r="BQ74" s="80">
        <v>0</v>
      </c>
      <c r="BR74" s="80">
        <v>160</v>
      </c>
      <c r="BS74" s="80">
        <v>960</v>
      </c>
    </row>
    <row r="75" spans="1:71">
      <c r="A75" s="29" t="s">
        <v>98</v>
      </c>
      <c r="B75" s="4" t="s">
        <v>106</v>
      </c>
      <c r="C75" s="9">
        <v>34530771</v>
      </c>
      <c r="D75" s="30">
        <v>46083</v>
      </c>
      <c r="E75" s="12">
        <v>45960</v>
      </c>
      <c r="F75" s="39"/>
      <c r="L75" s="58">
        <v>152</v>
      </c>
      <c r="M75" s="126">
        <v>144</v>
      </c>
      <c r="N75" s="125">
        <v>8</v>
      </c>
      <c r="O75" s="58">
        <f>M75+N75</f>
        <v>152</v>
      </c>
      <c r="P75" s="58">
        <f>L75-O75</f>
        <v>0</v>
      </c>
      <c r="Q75" s="65">
        <f>K75+P75</f>
        <v>0</v>
      </c>
      <c r="R75" s="61">
        <v>160</v>
      </c>
      <c r="S75" s="61">
        <v>152</v>
      </c>
      <c r="T75" s="61">
        <v>8</v>
      </c>
      <c r="U75" s="61">
        <f>S75+T75</f>
        <v>160</v>
      </c>
      <c r="V75" s="61">
        <f>R75-U75</f>
        <v>0</v>
      </c>
      <c r="W75" s="72">
        <f>Q75+V75</f>
        <v>0</v>
      </c>
      <c r="X75" s="70">
        <v>160</v>
      </c>
      <c r="Y75" s="70">
        <v>168</v>
      </c>
      <c r="Z75" s="70"/>
      <c r="AA75" s="70">
        <f>Y75+Z75</f>
        <v>168</v>
      </c>
      <c r="AB75" s="70">
        <f>X75-AA75</f>
        <v>-8</v>
      </c>
      <c r="AC75" s="73">
        <f>W75+AB75</f>
        <v>-8</v>
      </c>
      <c r="AD75" s="77">
        <v>160</v>
      </c>
      <c r="AE75" s="77">
        <v>156</v>
      </c>
      <c r="AF75" s="77"/>
      <c r="AG75" s="77">
        <f>AE75+AF75</f>
        <v>156</v>
      </c>
      <c r="AH75" s="77">
        <f>AD75-AG75</f>
        <v>4</v>
      </c>
      <c r="AI75" s="84">
        <f>AC75+AH75</f>
        <v>-4</v>
      </c>
      <c r="AJ75" s="80">
        <v>160</v>
      </c>
      <c r="AK75" s="80">
        <v>160</v>
      </c>
      <c r="AL75" s="80"/>
      <c r="AM75" s="80">
        <f>AK75+AL75</f>
        <v>160</v>
      </c>
      <c r="AN75" s="80">
        <f>AJ75-AM75</f>
        <v>0</v>
      </c>
      <c r="AO75" s="80">
        <f>AI75+AN75</f>
        <v>-4</v>
      </c>
      <c r="AP75" s="82">
        <v>160</v>
      </c>
      <c r="AQ75" s="82">
        <v>160</v>
      </c>
      <c r="AR75" s="82"/>
      <c r="AS75" s="82">
        <f>AQ75+AR75</f>
        <v>160</v>
      </c>
      <c r="AT75" s="82">
        <f>AP75-AS75</f>
        <v>0</v>
      </c>
      <c r="AU75" s="82">
        <f>AO75+AT75</f>
        <v>-4</v>
      </c>
      <c r="AV75" s="77">
        <v>160</v>
      </c>
      <c r="AW75" s="77">
        <v>164</v>
      </c>
      <c r="AX75" s="77"/>
      <c r="AY75" s="77">
        <f>AW75+AX75</f>
        <v>164</v>
      </c>
      <c r="AZ75" s="77">
        <f>AV75-AY75</f>
        <v>-4</v>
      </c>
      <c r="BA75" s="77">
        <f>AU75+AZ75</f>
        <v>-8</v>
      </c>
      <c r="BB75" s="58">
        <v>160</v>
      </c>
      <c r="BC75" s="58"/>
      <c r="BD75" s="58"/>
      <c r="BE75" s="58">
        <v>0</v>
      </c>
      <c r="BF75" s="58">
        <v>160</v>
      </c>
      <c r="BG75" s="58">
        <v>960</v>
      </c>
      <c r="BH75" s="77">
        <v>160</v>
      </c>
      <c r="BI75" s="77"/>
      <c r="BJ75" s="77"/>
      <c r="BK75" s="77">
        <v>0</v>
      </c>
      <c r="BL75" s="77">
        <v>160</v>
      </c>
      <c r="BM75" s="77">
        <v>960</v>
      </c>
      <c r="BN75" s="80">
        <v>160</v>
      </c>
      <c r="BO75" s="80"/>
      <c r="BP75" s="80"/>
      <c r="BQ75" s="80">
        <v>0</v>
      </c>
      <c r="BR75" s="80">
        <v>160</v>
      </c>
      <c r="BS75" s="80">
        <v>960</v>
      </c>
    </row>
    <row r="76" spans="1:71">
      <c r="A76" s="29" t="s">
        <v>98</v>
      </c>
      <c r="B76" s="31" t="s">
        <v>107</v>
      </c>
      <c r="C76" s="9">
        <v>1002970753</v>
      </c>
      <c r="D76" s="30">
        <v>46055</v>
      </c>
      <c r="E76" s="33">
        <v>46356</v>
      </c>
      <c r="F76" s="40">
        <f>(DAY(D76)-30-1)*-1</f>
        <v>29</v>
      </c>
      <c r="G76" s="41">
        <v>152</v>
      </c>
      <c r="H76" s="32">
        <v>128</v>
      </c>
      <c r="I76" s="32">
        <v>24</v>
      </c>
      <c r="J76" s="32">
        <f>H76+I76</f>
        <v>152</v>
      </c>
      <c r="K76" s="42">
        <f>G76-J76</f>
        <v>0</v>
      </c>
      <c r="L76" s="58">
        <v>160</v>
      </c>
      <c r="M76" s="58">
        <v>160</v>
      </c>
      <c r="N76" s="58">
        <v>8</v>
      </c>
      <c r="O76" s="58">
        <f>M76+N76</f>
        <v>168</v>
      </c>
      <c r="P76" s="58">
        <f>L76-O76</f>
        <v>-8</v>
      </c>
      <c r="Q76" s="65">
        <f>K76+P76</f>
        <v>-8</v>
      </c>
      <c r="R76" s="61">
        <v>160</v>
      </c>
      <c r="S76" s="61">
        <v>160</v>
      </c>
      <c r="T76" s="61">
        <v>8</v>
      </c>
      <c r="U76" s="61">
        <f>S76+T76</f>
        <v>168</v>
      </c>
      <c r="V76" s="61">
        <f>R76-U76</f>
        <v>-8</v>
      </c>
      <c r="W76" s="72">
        <f>Q76+V76</f>
        <v>-16</v>
      </c>
      <c r="X76" s="70">
        <v>160</v>
      </c>
      <c r="Y76" s="70">
        <v>160</v>
      </c>
      <c r="Z76" s="70"/>
      <c r="AA76" s="70">
        <f>Y76+Z76</f>
        <v>160</v>
      </c>
      <c r="AB76" s="70">
        <f>X76-AA76</f>
        <v>0</v>
      </c>
      <c r="AC76" s="73">
        <f>W76+AB76</f>
        <v>-16</v>
      </c>
      <c r="AD76" s="77">
        <v>160</v>
      </c>
      <c r="AE76" s="77">
        <v>160</v>
      </c>
      <c r="AF76" s="77"/>
      <c r="AG76" s="77">
        <f>AE76+AF76</f>
        <v>160</v>
      </c>
      <c r="AH76" s="77">
        <f>AD76-AG76</f>
        <v>0</v>
      </c>
      <c r="AI76" s="84">
        <f>AC76+AH76</f>
        <v>-16</v>
      </c>
      <c r="AJ76" s="80">
        <v>160</v>
      </c>
      <c r="AK76" s="80">
        <v>160</v>
      </c>
      <c r="AL76" s="80"/>
      <c r="AM76" s="80">
        <f>AK76+AL76</f>
        <v>160</v>
      </c>
      <c r="AN76" s="80">
        <f>AJ76-AM76</f>
        <v>0</v>
      </c>
      <c r="AO76" s="80">
        <f>AI76+AN76</f>
        <v>-16</v>
      </c>
      <c r="AP76" s="82">
        <v>160</v>
      </c>
      <c r="AQ76" s="82">
        <v>152</v>
      </c>
      <c r="AR76" s="82"/>
      <c r="AS76" s="82">
        <f>AQ76+AR76</f>
        <v>152</v>
      </c>
      <c r="AT76" s="82">
        <f>AP76-AS76</f>
        <v>8</v>
      </c>
      <c r="AU76" s="82">
        <f>AO76+AT76</f>
        <v>-8</v>
      </c>
      <c r="AV76" s="77">
        <v>160</v>
      </c>
      <c r="AW76" s="77">
        <v>168</v>
      </c>
      <c r="AX76" s="77"/>
      <c r="AY76" s="77">
        <f>AW76+AX76</f>
        <v>168</v>
      </c>
      <c r="AZ76" s="77">
        <f>AV76-AY76</f>
        <v>-8</v>
      </c>
      <c r="BA76" s="77">
        <f>AU76+AZ76</f>
        <v>-16</v>
      </c>
      <c r="BB76" s="58">
        <v>160</v>
      </c>
      <c r="BC76" s="58"/>
      <c r="BD76" s="58"/>
      <c r="BE76" s="58">
        <v>0</v>
      </c>
      <c r="BF76" s="58">
        <v>160</v>
      </c>
      <c r="BG76" s="58">
        <v>960</v>
      </c>
      <c r="BH76" s="77">
        <v>160</v>
      </c>
      <c r="BI76" s="77"/>
      <c r="BJ76" s="77"/>
      <c r="BK76" s="77">
        <v>0</v>
      </c>
      <c r="BL76" s="77">
        <v>160</v>
      </c>
      <c r="BM76" s="77">
        <v>960</v>
      </c>
      <c r="BN76" s="80">
        <v>160</v>
      </c>
      <c r="BO76" s="80"/>
      <c r="BP76" s="80"/>
      <c r="BQ76" s="80">
        <v>0</v>
      </c>
      <c r="BR76" s="80">
        <v>160</v>
      </c>
      <c r="BS76" s="80">
        <v>960</v>
      </c>
    </row>
    <row r="77" spans="1:71">
      <c r="A77" s="29" t="s">
        <v>98</v>
      </c>
      <c r="B77" s="4" t="s">
        <v>108</v>
      </c>
      <c r="C77" s="9">
        <v>76314870</v>
      </c>
      <c r="D77" s="30">
        <v>46055</v>
      </c>
      <c r="E77" s="33">
        <v>46003</v>
      </c>
      <c r="F77" s="40">
        <f>(DAY(D77)-30-1)*-1</f>
        <v>29</v>
      </c>
      <c r="G77" s="41">
        <v>152</v>
      </c>
      <c r="H77" s="32">
        <v>128</v>
      </c>
      <c r="I77" s="32">
        <v>24</v>
      </c>
      <c r="J77" s="32">
        <f>H77+I77</f>
        <v>152</v>
      </c>
      <c r="K77" s="42">
        <f>G77-J77</f>
        <v>0</v>
      </c>
      <c r="L77" s="58">
        <v>160</v>
      </c>
      <c r="M77" s="58">
        <v>160</v>
      </c>
      <c r="N77" s="58">
        <v>0</v>
      </c>
      <c r="O77" s="58">
        <f>M77+N77</f>
        <v>160</v>
      </c>
      <c r="P77" s="58">
        <f>L77-O77</f>
        <v>0</v>
      </c>
      <c r="Q77" s="65">
        <f>K77+P77</f>
        <v>0</v>
      </c>
      <c r="R77" s="61">
        <v>160</v>
      </c>
      <c r="S77" s="61">
        <v>160</v>
      </c>
      <c r="T77" s="61">
        <v>8</v>
      </c>
      <c r="U77" s="61">
        <f>S77+T77</f>
        <v>168</v>
      </c>
      <c r="V77" s="61">
        <f>R77-U77</f>
        <v>-8</v>
      </c>
      <c r="W77" s="72">
        <f>Q77+V77</f>
        <v>-8</v>
      </c>
      <c r="X77" s="70">
        <v>160</v>
      </c>
      <c r="Y77" s="70">
        <v>160</v>
      </c>
      <c r="Z77" s="70"/>
      <c r="AA77" s="70">
        <f>Y77+Z77</f>
        <v>160</v>
      </c>
      <c r="AB77" s="70">
        <f>X77-AA77</f>
        <v>0</v>
      </c>
      <c r="AC77" s="73">
        <f>W77+AB77</f>
        <v>-8</v>
      </c>
      <c r="AD77" s="77">
        <v>160</v>
      </c>
      <c r="AE77" s="77">
        <v>160</v>
      </c>
      <c r="AF77" s="77"/>
      <c r="AG77" s="77">
        <f>AE77+AF77</f>
        <v>160</v>
      </c>
      <c r="AH77" s="77">
        <f>AD77-AG77</f>
        <v>0</v>
      </c>
      <c r="AI77" s="84">
        <f>AC77+AH77</f>
        <v>-8</v>
      </c>
      <c r="AJ77" s="80">
        <v>160</v>
      </c>
      <c r="AK77" s="80">
        <v>120</v>
      </c>
      <c r="AL77" s="80">
        <v>40</v>
      </c>
      <c r="AM77" s="80">
        <f>AK77+AL77</f>
        <v>160</v>
      </c>
      <c r="AN77" s="80">
        <f>AJ77-AM77</f>
        <v>0</v>
      </c>
      <c r="AO77" s="80">
        <f>AI77+AN77</f>
        <v>-8</v>
      </c>
      <c r="AP77" s="82">
        <v>160</v>
      </c>
      <c r="AQ77" s="82">
        <v>120</v>
      </c>
      <c r="AR77" s="82">
        <v>40</v>
      </c>
      <c r="AS77" s="82">
        <f>AQ77+AR77</f>
        <v>160</v>
      </c>
      <c r="AT77" s="82">
        <f>AP77-AS77</f>
        <v>0</v>
      </c>
      <c r="AU77" s="82">
        <f>AO77+AT77</f>
        <v>-8</v>
      </c>
      <c r="AV77" s="77">
        <v>160</v>
      </c>
      <c r="AW77" s="77">
        <v>144</v>
      </c>
      <c r="AX77" s="77">
        <v>16</v>
      </c>
      <c r="AY77" s="77">
        <f>AW77+AX77</f>
        <v>160</v>
      </c>
      <c r="AZ77" s="77">
        <f>AV77-AY77</f>
        <v>0</v>
      </c>
      <c r="BA77" s="77">
        <f>AU77+AZ77</f>
        <v>-8</v>
      </c>
      <c r="BB77" s="58">
        <v>160</v>
      </c>
      <c r="BC77" s="58"/>
      <c r="BD77" s="58"/>
      <c r="BE77" s="58">
        <v>0</v>
      </c>
      <c r="BF77" s="58">
        <v>160</v>
      </c>
      <c r="BG77" s="58">
        <v>960</v>
      </c>
      <c r="BH77" s="77">
        <v>160</v>
      </c>
      <c r="BI77" s="77"/>
      <c r="BJ77" s="77"/>
      <c r="BK77" s="77">
        <v>0</v>
      </c>
      <c r="BL77" s="77">
        <v>160</v>
      </c>
      <c r="BM77" s="77">
        <v>960</v>
      </c>
      <c r="BN77" s="80">
        <v>160</v>
      </c>
      <c r="BO77" s="80"/>
      <c r="BP77" s="80"/>
      <c r="BQ77" s="80">
        <v>0</v>
      </c>
      <c r="BR77" s="80">
        <v>160</v>
      </c>
      <c r="BS77" s="80">
        <v>960</v>
      </c>
    </row>
    <row r="78" spans="1:71">
      <c r="A78" s="29" t="s">
        <v>98</v>
      </c>
      <c r="B78" s="4" t="s">
        <v>74</v>
      </c>
      <c r="C78" s="10">
        <v>25285705</v>
      </c>
      <c r="D78" s="30">
        <v>46083</v>
      </c>
      <c r="E78" s="12">
        <v>46356</v>
      </c>
      <c r="F78" s="39"/>
      <c r="L78" s="58">
        <v>160</v>
      </c>
      <c r="M78" s="126">
        <v>144</v>
      </c>
      <c r="N78" s="125">
        <v>24</v>
      </c>
      <c r="O78" s="58">
        <f>M78+N78</f>
        <v>168</v>
      </c>
      <c r="P78" s="58">
        <f>L78-O78</f>
        <v>-8</v>
      </c>
      <c r="Q78" s="65">
        <f>K78+P78</f>
        <v>-8</v>
      </c>
      <c r="R78" s="61">
        <v>160</v>
      </c>
      <c r="S78" s="61">
        <v>160</v>
      </c>
      <c r="T78" s="61">
        <v>8</v>
      </c>
      <c r="U78" s="61">
        <f>S78+T78</f>
        <v>168</v>
      </c>
      <c r="V78" s="61">
        <f>R78-U78</f>
        <v>-8</v>
      </c>
      <c r="W78" s="72">
        <f>Q78+V78</f>
        <v>-16</v>
      </c>
      <c r="X78" s="70">
        <v>160</v>
      </c>
      <c r="Y78" s="70">
        <v>176</v>
      </c>
      <c r="Z78" s="70"/>
      <c r="AA78" s="70">
        <f>Y78+Z78</f>
        <v>176</v>
      </c>
      <c r="AB78" s="70">
        <f>X78-AA78</f>
        <v>-16</v>
      </c>
      <c r="AC78" s="73">
        <f>W78+AB78</f>
        <v>-32</v>
      </c>
      <c r="AD78" s="77">
        <v>160</v>
      </c>
      <c r="AE78" s="77">
        <v>160</v>
      </c>
      <c r="AF78" s="77"/>
      <c r="AG78" s="77">
        <f>AE78+AF78</f>
        <v>160</v>
      </c>
      <c r="AH78" s="77">
        <f>AD78-AG78</f>
        <v>0</v>
      </c>
      <c r="AI78" s="84">
        <f>AC78+AH78</f>
        <v>-32</v>
      </c>
      <c r="AJ78" s="80">
        <v>160</v>
      </c>
      <c r="AK78" s="80">
        <v>128</v>
      </c>
      <c r="AL78" s="80">
        <v>40</v>
      </c>
      <c r="AM78" s="80">
        <f>AK78+AL78</f>
        <v>168</v>
      </c>
      <c r="AN78" s="80">
        <f>AJ78-AM78</f>
        <v>-8</v>
      </c>
      <c r="AO78" s="80">
        <f>AI78+AN78</f>
        <v>-40</v>
      </c>
      <c r="AP78" s="82">
        <v>160</v>
      </c>
      <c r="AQ78" s="82">
        <v>160</v>
      </c>
      <c r="AR78" s="82"/>
      <c r="AS78" s="82">
        <f>AQ78+AR78</f>
        <v>160</v>
      </c>
      <c r="AT78" s="82">
        <f>AP78-AS78</f>
        <v>0</v>
      </c>
      <c r="AU78" s="82">
        <f>AO78+AT78</f>
        <v>-40</v>
      </c>
      <c r="AV78" s="77">
        <v>160</v>
      </c>
      <c r="AW78" s="77"/>
      <c r="AX78" s="77"/>
      <c r="AY78" s="77">
        <f>AW78+AX78</f>
        <v>0</v>
      </c>
      <c r="AZ78" s="77">
        <f>AV78-AY78</f>
        <v>160</v>
      </c>
      <c r="BA78" s="77">
        <f>AU78+AZ78</f>
        <v>120</v>
      </c>
      <c r="BB78" s="58">
        <v>160</v>
      </c>
      <c r="BC78" s="58"/>
      <c r="BD78" s="58"/>
      <c r="BE78" s="58">
        <v>0</v>
      </c>
      <c r="BF78" s="58">
        <v>160</v>
      </c>
      <c r="BG78" s="58">
        <v>960</v>
      </c>
      <c r="BH78" s="77">
        <v>160</v>
      </c>
      <c r="BI78" s="77"/>
      <c r="BJ78" s="77"/>
      <c r="BK78" s="77">
        <v>0</v>
      </c>
      <c r="BL78" s="77">
        <v>160</v>
      </c>
      <c r="BM78" s="77">
        <v>960</v>
      </c>
      <c r="BN78" s="80">
        <v>160</v>
      </c>
      <c r="BO78" s="80"/>
      <c r="BP78" s="80"/>
      <c r="BQ78" s="80">
        <v>0</v>
      </c>
      <c r="BR78" s="80">
        <v>160</v>
      </c>
      <c r="BS78" s="80">
        <v>960</v>
      </c>
    </row>
    <row r="79" spans="1:71">
      <c r="A79" s="29" t="s">
        <v>98</v>
      </c>
      <c r="B79" s="31" t="s">
        <v>109</v>
      </c>
      <c r="C79" s="9">
        <v>27295371</v>
      </c>
      <c r="D79" s="30">
        <v>46083</v>
      </c>
      <c r="E79" s="12">
        <v>45960</v>
      </c>
      <c r="F79" s="39"/>
      <c r="L79" s="58">
        <v>160</v>
      </c>
      <c r="M79" s="125">
        <v>160</v>
      </c>
      <c r="N79" s="125">
        <v>0</v>
      </c>
      <c r="O79" s="58">
        <f>M79+N79</f>
        <v>160</v>
      </c>
      <c r="P79" s="58">
        <f>L79-O79</f>
        <v>0</v>
      </c>
      <c r="Q79" s="65">
        <f>K79+P79</f>
        <v>0</v>
      </c>
      <c r="R79" s="61">
        <v>160</v>
      </c>
      <c r="S79" s="61">
        <v>152</v>
      </c>
      <c r="T79" s="61">
        <v>8</v>
      </c>
      <c r="U79" s="61">
        <f>S79+T79</f>
        <v>160</v>
      </c>
      <c r="V79" s="61">
        <f>R79-U79</f>
        <v>0</v>
      </c>
      <c r="W79" s="72">
        <f>Q79+V79</f>
        <v>0</v>
      </c>
      <c r="X79" s="70">
        <v>160</v>
      </c>
      <c r="Y79" s="70">
        <v>156</v>
      </c>
      <c r="Z79" s="70"/>
      <c r="AA79" s="70">
        <f>Y79+Z79</f>
        <v>156</v>
      </c>
      <c r="AB79" s="70">
        <f>X79-AA79</f>
        <v>4</v>
      </c>
      <c r="AC79" s="73">
        <f>W79+AB79</f>
        <v>4</v>
      </c>
      <c r="AD79" s="77">
        <v>160</v>
      </c>
      <c r="AE79" s="77">
        <v>168</v>
      </c>
      <c r="AF79" s="77"/>
      <c r="AG79" s="77">
        <f>AE79+AF79</f>
        <v>168</v>
      </c>
      <c r="AH79" s="77">
        <f>AD79-AG79</f>
        <v>-8</v>
      </c>
      <c r="AI79" s="84">
        <f>AC79+AH79</f>
        <v>-4</v>
      </c>
      <c r="AJ79" s="80">
        <v>160</v>
      </c>
      <c r="AK79" s="80">
        <v>168</v>
      </c>
      <c r="AL79" s="80"/>
      <c r="AM79" s="80">
        <f>AK79+AL79</f>
        <v>168</v>
      </c>
      <c r="AN79" s="80">
        <f>AJ79-AM79</f>
        <v>-8</v>
      </c>
      <c r="AO79" s="80">
        <f>AI79+AN79</f>
        <v>-12</v>
      </c>
      <c r="AP79" s="82">
        <v>160</v>
      </c>
      <c r="AQ79" s="82">
        <v>162</v>
      </c>
      <c r="AR79" s="82"/>
      <c r="AS79" s="82">
        <f>AQ79+AR79</f>
        <v>162</v>
      </c>
      <c r="AT79" s="82">
        <f>AP79-AS79</f>
        <v>-2</v>
      </c>
      <c r="AU79" s="82">
        <f>AO79+AT79</f>
        <v>-14</v>
      </c>
      <c r="AV79" s="77">
        <v>160</v>
      </c>
      <c r="AW79" s="77">
        <v>172</v>
      </c>
      <c r="AX79" s="77"/>
      <c r="AY79" s="77">
        <f>AW79+AX79</f>
        <v>172</v>
      </c>
      <c r="AZ79" s="77">
        <f>AV79-AY79</f>
        <v>-12</v>
      </c>
      <c r="BA79" s="77">
        <f>AU79+AZ79</f>
        <v>-26</v>
      </c>
      <c r="BB79" s="58">
        <v>160</v>
      </c>
      <c r="BC79" s="58"/>
      <c r="BD79" s="58"/>
      <c r="BE79" s="58">
        <v>0</v>
      </c>
      <c r="BF79" s="58">
        <v>160</v>
      </c>
      <c r="BG79" s="58">
        <v>960</v>
      </c>
      <c r="BH79" s="77">
        <v>160</v>
      </c>
      <c r="BI79" s="77"/>
      <c r="BJ79" s="77"/>
      <c r="BK79" s="77">
        <v>0</v>
      </c>
      <c r="BL79" s="77">
        <v>160</v>
      </c>
      <c r="BM79" s="77">
        <v>960</v>
      </c>
      <c r="BN79" s="80">
        <v>160</v>
      </c>
      <c r="BO79" s="80"/>
      <c r="BP79" s="80"/>
      <c r="BQ79" s="80">
        <v>0</v>
      </c>
      <c r="BR79" s="80">
        <v>160</v>
      </c>
      <c r="BS79" s="80">
        <v>960</v>
      </c>
    </row>
    <row r="80" spans="1:71">
      <c r="A80" s="5" t="s">
        <v>110</v>
      </c>
      <c r="B80" s="6" t="s">
        <v>111</v>
      </c>
      <c r="C80" s="8">
        <v>10696987</v>
      </c>
      <c r="D80" s="13">
        <v>46055</v>
      </c>
      <c r="E80" s="37">
        <v>46368</v>
      </c>
      <c r="F80" s="40">
        <f>(DAY(D80)-30-1)*-1</f>
        <v>29</v>
      </c>
      <c r="G80" s="41">
        <v>152</v>
      </c>
      <c r="H80" s="32">
        <v>128</v>
      </c>
      <c r="I80" s="32">
        <v>24</v>
      </c>
      <c r="J80" s="32">
        <f>H80+I80</f>
        <v>152</v>
      </c>
      <c r="K80" s="42">
        <f>G80-J80</f>
        <v>0</v>
      </c>
      <c r="L80" s="58">
        <v>160</v>
      </c>
      <c r="M80" s="63">
        <v>160</v>
      </c>
      <c r="N80" s="58">
        <v>8</v>
      </c>
      <c r="O80" s="58">
        <f>M80+N80</f>
        <v>168</v>
      </c>
      <c r="P80" s="58">
        <f>L80-O80</f>
        <v>-8</v>
      </c>
      <c r="Q80" s="65">
        <f>K80+P80</f>
        <v>-8</v>
      </c>
      <c r="R80" s="61">
        <v>160</v>
      </c>
      <c r="S80" s="61">
        <v>160</v>
      </c>
      <c r="T80" s="61">
        <v>8</v>
      </c>
      <c r="U80" s="61">
        <f>S80+T80</f>
        <v>168</v>
      </c>
      <c r="V80" s="61">
        <f>R80-U80</f>
        <v>-8</v>
      </c>
      <c r="W80" s="72">
        <f>Q80+V80</f>
        <v>-16</v>
      </c>
      <c r="X80" s="70">
        <v>160</v>
      </c>
      <c r="Y80" s="70">
        <v>160</v>
      </c>
      <c r="Z80" s="70"/>
      <c r="AA80" s="70">
        <f>Y80+Z80</f>
        <v>160</v>
      </c>
      <c r="AB80" s="70">
        <f>X80-AA80</f>
        <v>0</v>
      </c>
      <c r="AC80" s="73">
        <f>W80+AB80</f>
        <v>-16</v>
      </c>
      <c r="AD80" s="77">
        <v>160</v>
      </c>
      <c r="AE80" s="77">
        <v>160</v>
      </c>
      <c r="AF80" s="77"/>
      <c r="AG80" s="77">
        <f>AE80+AF80</f>
        <v>160</v>
      </c>
      <c r="AH80" s="77">
        <f>AD80-AG80</f>
        <v>0</v>
      </c>
      <c r="AI80" s="84">
        <f>AC80+AH80</f>
        <v>-16</v>
      </c>
      <c r="AJ80" s="80">
        <v>160</v>
      </c>
      <c r="AK80" s="80">
        <v>160</v>
      </c>
      <c r="AL80" s="80"/>
      <c r="AM80" s="80">
        <f>AK80+AL80</f>
        <v>160</v>
      </c>
      <c r="AN80" s="80">
        <f>AJ80-AM80</f>
        <v>0</v>
      </c>
      <c r="AO80" s="80">
        <f>AI80+AN80</f>
        <v>-16</v>
      </c>
      <c r="AP80" s="82">
        <v>160</v>
      </c>
      <c r="AQ80" s="82">
        <v>152</v>
      </c>
      <c r="AR80" s="82"/>
      <c r="AS80" s="82">
        <f>AQ80+AR80</f>
        <v>152</v>
      </c>
      <c r="AT80" s="82">
        <f>AP80-AS80</f>
        <v>8</v>
      </c>
      <c r="AU80" s="82">
        <f>AO80+AT80</f>
        <v>-8</v>
      </c>
      <c r="AV80" s="77">
        <v>160</v>
      </c>
      <c r="AW80" s="77">
        <v>168</v>
      </c>
      <c r="AX80" s="77"/>
      <c r="AY80" s="77">
        <f>AW80+AX80</f>
        <v>168</v>
      </c>
      <c r="AZ80" s="77">
        <f>AV80-AY80</f>
        <v>-8</v>
      </c>
      <c r="BA80" s="77">
        <f>AU80+AZ80</f>
        <v>-16</v>
      </c>
      <c r="BB80" s="58">
        <v>160</v>
      </c>
      <c r="BC80" s="58"/>
      <c r="BD80" s="58"/>
      <c r="BE80" s="58">
        <v>0</v>
      </c>
      <c r="BF80" s="58">
        <v>160</v>
      </c>
      <c r="BG80" s="58">
        <v>960</v>
      </c>
      <c r="BH80" s="77">
        <v>160</v>
      </c>
      <c r="BI80" s="77"/>
      <c r="BJ80" s="77"/>
      <c r="BK80" s="77">
        <v>0</v>
      </c>
      <c r="BL80" s="77">
        <v>160</v>
      </c>
      <c r="BM80" s="77">
        <v>960</v>
      </c>
      <c r="BN80" s="80">
        <v>160</v>
      </c>
      <c r="BO80" s="80"/>
      <c r="BP80" s="80"/>
      <c r="BQ80" s="80">
        <v>0</v>
      </c>
      <c r="BR80" s="80">
        <v>160</v>
      </c>
      <c r="BS80" s="80">
        <v>960</v>
      </c>
    </row>
    <row r="81" spans="1:71">
      <c r="A81" s="5" t="s">
        <v>110</v>
      </c>
      <c r="B81" s="6" t="s">
        <v>112</v>
      </c>
      <c r="C81" s="8">
        <v>1061762689</v>
      </c>
      <c r="D81" s="13">
        <v>46055</v>
      </c>
      <c r="E81" s="37">
        <v>46368</v>
      </c>
      <c r="F81" s="40">
        <f>(DAY(D81)-30-1)*-1</f>
        <v>29</v>
      </c>
      <c r="G81" s="41">
        <v>152</v>
      </c>
      <c r="H81" s="32">
        <v>136</v>
      </c>
      <c r="I81" s="32">
        <v>24</v>
      </c>
      <c r="J81" s="32">
        <f>H81+I81</f>
        <v>160</v>
      </c>
      <c r="K81" s="42">
        <f>G81-J81</f>
        <v>-8</v>
      </c>
      <c r="L81" s="58">
        <v>160</v>
      </c>
      <c r="M81" s="58">
        <v>160</v>
      </c>
      <c r="N81" s="58">
        <v>8</v>
      </c>
      <c r="O81" s="58">
        <f>M81+N81</f>
        <v>168</v>
      </c>
      <c r="P81" s="58">
        <f>L81-O81</f>
        <v>-8</v>
      </c>
      <c r="Q81" s="65">
        <f>K81+P81</f>
        <v>-16</v>
      </c>
      <c r="R81" s="61">
        <v>160</v>
      </c>
      <c r="S81" s="61">
        <v>160</v>
      </c>
      <c r="T81" s="61">
        <v>8</v>
      </c>
      <c r="U81" s="61">
        <f>S81+T81</f>
        <v>168</v>
      </c>
      <c r="V81" s="61">
        <f>R81-U81</f>
        <v>-8</v>
      </c>
      <c r="W81" s="72">
        <f>Q81+V81</f>
        <v>-24</v>
      </c>
      <c r="X81" s="70">
        <v>160</v>
      </c>
      <c r="Y81" s="70">
        <v>160</v>
      </c>
      <c r="Z81" s="70"/>
      <c r="AA81" s="70">
        <f>Y81+Z81</f>
        <v>160</v>
      </c>
      <c r="AB81" s="70">
        <f>X81-AA81</f>
        <v>0</v>
      </c>
      <c r="AC81" s="73">
        <f>W81+AB81</f>
        <v>-24</v>
      </c>
      <c r="AD81" s="77">
        <v>160</v>
      </c>
      <c r="AE81" s="77">
        <v>160</v>
      </c>
      <c r="AF81" s="77"/>
      <c r="AG81" s="77">
        <f>AE81+AF81</f>
        <v>160</v>
      </c>
      <c r="AH81" s="77">
        <f>AD81-AG81</f>
        <v>0</v>
      </c>
      <c r="AI81" s="84">
        <f>AC81+AH81</f>
        <v>-24</v>
      </c>
      <c r="AJ81" s="80">
        <v>160</v>
      </c>
      <c r="AK81" s="80">
        <v>160</v>
      </c>
      <c r="AL81" s="80"/>
      <c r="AM81" s="80">
        <f>AK81+AL81</f>
        <v>160</v>
      </c>
      <c r="AN81" s="80">
        <f>AJ81-AM81</f>
        <v>0</v>
      </c>
      <c r="AO81" s="80">
        <f>AI81+AN81</f>
        <v>-24</v>
      </c>
      <c r="AP81" s="82">
        <v>160</v>
      </c>
      <c r="AQ81" s="82">
        <v>192</v>
      </c>
      <c r="AR81" s="82"/>
      <c r="AS81" s="82">
        <f>AQ81+AR81</f>
        <v>192</v>
      </c>
      <c r="AT81" s="82">
        <f>AP81-AS81</f>
        <v>-32</v>
      </c>
      <c r="AU81" s="82">
        <f>AO81+AT81</f>
        <v>-56</v>
      </c>
      <c r="AV81" s="77">
        <v>160</v>
      </c>
      <c r="AW81" s="77">
        <v>168</v>
      </c>
      <c r="AX81" s="77"/>
      <c r="AY81" s="77">
        <f>AW81+AX81</f>
        <v>168</v>
      </c>
      <c r="AZ81" s="77">
        <f>AV81-AY81</f>
        <v>-8</v>
      </c>
      <c r="BA81" s="77">
        <f>AU81+AZ81</f>
        <v>-64</v>
      </c>
      <c r="BB81" s="58">
        <v>160</v>
      </c>
      <c r="BC81" s="58"/>
      <c r="BD81" s="58"/>
      <c r="BE81" s="58">
        <v>0</v>
      </c>
      <c r="BF81" s="58">
        <v>160</v>
      </c>
      <c r="BG81" s="58">
        <v>960</v>
      </c>
      <c r="BH81" s="77">
        <v>160</v>
      </c>
      <c r="BI81" s="77"/>
      <c r="BJ81" s="77"/>
      <c r="BK81" s="77">
        <v>0</v>
      </c>
      <c r="BL81" s="77">
        <v>160</v>
      </c>
      <c r="BM81" s="77">
        <v>960</v>
      </c>
      <c r="BN81" s="80">
        <v>160</v>
      </c>
      <c r="BO81" s="80"/>
      <c r="BP81" s="80"/>
      <c r="BQ81" s="80">
        <v>0</v>
      </c>
      <c r="BR81" s="80">
        <v>160</v>
      </c>
      <c r="BS81" s="80">
        <v>960</v>
      </c>
    </row>
    <row r="82" spans="1:71">
      <c r="A82" s="5" t="s">
        <v>110</v>
      </c>
      <c r="B82" s="7" t="s">
        <v>113</v>
      </c>
      <c r="C82" s="11">
        <v>1061777666</v>
      </c>
      <c r="D82" s="13">
        <v>46055</v>
      </c>
      <c r="E82" s="37">
        <v>46325</v>
      </c>
      <c r="F82" s="40">
        <f>(DAY(D82)-30-1)*-1</f>
        <v>29</v>
      </c>
      <c r="G82" s="41">
        <v>152</v>
      </c>
      <c r="H82" s="32">
        <v>128</v>
      </c>
      <c r="I82" s="32">
        <v>24</v>
      </c>
      <c r="J82" s="32">
        <f>H82+I82</f>
        <v>152</v>
      </c>
      <c r="K82" s="42">
        <f>G82-J82</f>
        <v>0</v>
      </c>
      <c r="L82" s="58">
        <v>160</v>
      </c>
      <c r="M82" s="63">
        <v>168</v>
      </c>
      <c r="N82" s="58">
        <v>8</v>
      </c>
      <c r="O82" s="58">
        <f>M82+N82</f>
        <v>176</v>
      </c>
      <c r="P82" s="58">
        <f>L82-O82</f>
        <v>-16</v>
      </c>
      <c r="Q82" s="65">
        <f>K82+P82</f>
        <v>-16</v>
      </c>
      <c r="R82" s="61">
        <v>160</v>
      </c>
      <c r="S82" s="61">
        <v>160</v>
      </c>
      <c r="T82" s="61">
        <v>8</v>
      </c>
      <c r="U82" s="61">
        <f>S82+T82</f>
        <v>168</v>
      </c>
      <c r="V82" s="61">
        <f>R82-U82</f>
        <v>-8</v>
      </c>
      <c r="W82" s="72">
        <f>Q82+V82</f>
        <v>-24</v>
      </c>
      <c r="X82" s="70">
        <v>160</v>
      </c>
      <c r="Y82" s="70">
        <v>160</v>
      </c>
      <c r="Z82" s="70"/>
      <c r="AA82" s="70">
        <f>Y82+Z82</f>
        <v>160</v>
      </c>
      <c r="AB82" s="70">
        <f>X82-AA82</f>
        <v>0</v>
      </c>
      <c r="AC82" s="73">
        <f>W82+AB82</f>
        <v>-24</v>
      </c>
      <c r="AD82" s="77">
        <v>160</v>
      </c>
      <c r="AE82" s="77">
        <v>160</v>
      </c>
      <c r="AF82" s="77"/>
      <c r="AG82" s="77">
        <f>AE82+AF82</f>
        <v>160</v>
      </c>
      <c r="AH82" s="77">
        <f>AD82-AG82</f>
        <v>0</v>
      </c>
      <c r="AI82" s="84">
        <f>AC82+AH82</f>
        <v>-24</v>
      </c>
      <c r="AJ82" s="80">
        <v>160</v>
      </c>
      <c r="AK82" s="80">
        <v>160</v>
      </c>
      <c r="AL82" s="80"/>
      <c r="AM82" s="80">
        <f>AK82+AL82</f>
        <v>160</v>
      </c>
      <c r="AN82" s="80">
        <f>AJ82-AM82</f>
        <v>0</v>
      </c>
      <c r="AO82" s="80">
        <f>AI82+AN82</f>
        <v>-24</v>
      </c>
      <c r="AP82" s="82">
        <v>160</v>
      </c>
      <c r="AQ82" s="82">
        <v>160</v>
      </c>
      <c r="AR82" s="82"/>
      <c r="AS82" s="82">
        <f>AQ82+AR82</f>
        <v>160</v>
      </c>
      <c r="AT82" s="82">
        <f>AP82-AS82</f>
        <v>0</v>
      </c>
      <c r="AU82" s="82">
        <f>AO82+AT82</f>
        <v>-24</v>
      </c>
      <c r="AV82" s="77">
        <v>160</v>
      </c>
      <c r="AW82" s="77">
        <v>160</v>
      </c>
      <c r="AX82" s="77"/>
      <c r="AY82" s="77">
        <f>AW82+AX82</f>
        <v>160</v>
      </c>
      <c r="AZ82" s="77">
        <f>AV82-AY82</f>
        <v>0</v>
      </c>
      <c r="BA82" s="77">
        <f>AU82+AZ82</f>
        <v>-24</v>
      </c>
      <c r="BB82" s="58">
        <v>160</v>
      </c>
      <c r="BC82" s="58"/>
      <c r="BD82" s="58"/>
      <c r="BE82" s="58">
        <v>0</v>
      </c>
      <c r="BF82" s="58">
        <v>160</v>
      </c>
      <c r="BG82" s="58">
        <v>960</v>
      </c>
      <c r="BH82" s="77">
        <v>160</v>
      </c>
      <c r="BI82" s="77"/>
      <c r="BJ82" s="77"/>
      <c r="BK82" s="77">
        <v>0</v>
      </c>
      <c r="BL82" s="77">
        <v>160</v>
      </c>
      <c r="BM82" s="77">
        <v>960</v>
      </c>
      <c r="BN82" s="80">
        <v>160</v>
      </c>
      <c r="BO82" s="80"/>
      <c r="BP82" s="80"/>
      <c r="BQ82" s="80">
        <v>0</v>
      </c>
      <c r="BR82" s="80">
        <v>160</v>
      </c>
      <c r="BS82" s="80">
        <v>960</v>
      </c>
    </row>
    <row r="83" spans="1:71">
      <c r="A83" s="93" t="s">
        <v>110</v>
      </c>
      <c r="B83" s="94" t="s">
        <v>114</v>
      </c>
      <c r="C83" s="94">
        <v>1058671787</v>
      </c>
      <c r="D83" s="95">
        <v>46055</v>
      </c>
      <c r="E83" s="96">
        <v>46325</v>
      </c>
      <c r="F83" s="97">
        <f>(DAY(D83)-30-1)*-1</f>
        <v>29</v>
      </c>
      <c r="G83" s="98">
        <v>152</v>
      </c>
      <c r="H83" s="99">
        <v>128</v>
      </c>
      <c r="I83" s="99">
        <v>24</v>
      </c>
      <c r="J83" s="99">
        <f>H83+I83</f>
        <v>152</v>
      </c>
      <c r="K83" s="100">
        <f>G83-J83</f>
        <v>0</v>
      </c>
      <c r="L83" s="59">
        <v>160</v>
      </c>
      <c r="M83" s="59">
        <v>160</v>
      </c>
      <c r="N83" s="59">
        <v>8</v>
      </c>
      <c r="O83" s="59">
        <f>M83+N83</f>
        <v>168</v>
      </c>
      <c r="P83" s="59">
        <f>L83-O83</f>
        <v>-8</v>
      </c>
      <c r="Q83" s="101">
        <f>K83+P83</f>
        <v>-8</v>
      </c>
      <c r="R83" s="102">
        <v>160</v>
      </c>
      <c r="S83" s="102">
        <v>160</v>
      </c>
      <c r="T83" s="102">
        <v>8</v>
      </c>
      <c r="U83" s="102">
        <f>S83+T83</f>
        <v>168</v>
      </c>
      <c r="V83" s="102">
        <f>R83-U83</f>
        <v>-8</v>
      </c>
      <c r="W83" s="103">
        <f>Q83+V83</f>
        <v>-16</v>
      </c>
      <c r="X83" s="104">
        <v>160</v>
      </c>
      <c r="Y83" s="104">
        <v>160</v>
      </c>
      <c r="Z83" s="104"/>
      <c r="AA83" s="104">
        <f>Y83+Z83</f>
        <v>160</v>
      </c>
      <c r="AB83" s="104">
        <f>X83-AA83</f>
        <v>0</v>
      </c>
      <c r="AC83" s="105">
        <f>W83+AB83</f>
        <v>-16</v>
      </c>
      <c r="AD83" s="106">
        <v>160</v>
      </c>
      <c r="AE83" s="106">
        <v>160</v>
      </c>
      <c r="AF83" s="106"/>
      <c r="AG83" s="106">
        <f>AE83+AF83</f>
        <v>160</v>
      </c>
      <c r="AH83" s="106">
        <f>AD83-AG83</f>
        <v>0</v>
      </c>
      <c r="AI83" s="107">
        <f>AC83+AH83</f>
        <v>-16</v>
      </c>
      <c r="AJ83" s="108">
        <v>160</v>
      </c>
      <c r="AK83" s="108">
        <v>190</v>
      </c>
      <c r="AL83" s="108"/>
      <c r="AM83" s="108">
        <f>AK83+AL83</f>
        <v>190</v>
      </c>
      <c r="AN83" s="108">
        <f>AJ83-AM83</f>
        <v>-30</v>
      </c>
      <c r="AO83" s="108">
        <f>AI83+AN83</f>
        <v>-46</v>
      </c>
      <c r="AP83" s="109">
        <v>160</v>
      </c>
      <c r="AQ83" s="109">
        <v>192</v>
      </c>
      <c r="AR83" s="109"/>
      <c r="AS83" s="109">
        <f>AQ83+AR83</f>
        <v>192</v>
      </c>
      <c r="AT83" s="109">
        <f>AP83-AS83</f>
        <v>-32</v>
      </c>
      <c r="AU83" s="109">
        <f>AO83+AT83</f>
        <v>-78</v>
      </c>
      <c r="AV83" s="106">
        <v>160</v>
      </c>
      <c r="AW83" s="106">
        <v>168</v>
      </c>
      <c r="AX83" s="106"/>
      <c r="AY83" s="106">
        <f>AW83+AX83</f>
        <v>168</v>
      </c>
      <c r="AZ83" s="106">
        <f>AV83-AY83</f>
        <v>-8</v>
      </c>
      <c r="BA83" s="106">
        <f>AU83+AZ83</f>
        <v>-86</v>
      </c>
      <c r="BB83" s="59">
        <v>160</v>
      </c>
      <c r="BC83" s="59"/>
      <c r="BD83" s="59"/>
      <c r="BE83" s="59">
        <v>0</v>
      </c>
      <c r="BF83" s="59">
        <v>160</v>
      </c>
      <c r="BG83" s="59">
        <v>960</v>
      </c>
      <c r="BH83" s="106">
        <v>160</v>
      </c>
      <c r="BI83" s="106"/>
      <c r="BJ83" s="106"/>
      <c r="BK83" s="106">
        <v>0</v>
      </c>
      <c r="BL83" s="106">
        <v>160</v>
      </c>
      <c r="BM83" s="106">
        <v>960</v>
      </c>
      <c r="BN83" s="108">
        <v>160</v>
      </c>
      <c r="BO83" s="108"/>
      <c r="BP83" s="108"/>
      <c r="BQ83" s="108">
        <v>0</v>
      </c>
      <c r="BR83" s="108">
        <v>160</v>
      </c>
      <c r="BS83" s="108">
        <v>960</v>
      </c>
    </row>
    <row r="84" spans="1:71" s="32" customFormat="1">
      <c r="A84" s="87" t="s">
        <v>115</v>
      </c>
      <c r="B84" s="87" t="s">
        <v>116</v>
      </c>
      <c r="C84" s="87">
        <v>1002972088</v>
      </c>
      <c r="D84" s="88">
        <v>46083</v>
      </c>
      <c r="E84" s="88">
        <v>46325</v>
      </c>
      <c r="F84" s="89"/>
      <c r="L84" s="58">
        <v>152</v>
      </c>
      <c r="M84" s="64">
        <v>120</v>
      </c>
      <c r="N84" s="58">
        <v>32</v>
      </c>
      <c r="O84" s="58">
        <f>M84+N84</f>
        <v>152</v>
      </c>
      <c r="P84" s="58">
        <f>L84-O84</f>
        <v>0</v>
      </c>
      <c r="Q84" s="65">
        <f>K84+P84</f>
        <v>0</v>
      </c>
      <c r="R84" s="61">
        <v>160</v>
      </c>
      <c r="S84" s="61">
        <v>160</v>
      </c>
      <c r="T84" s="61">
        <v>8</v>
      </c>
      <c r="U84" s="61">
        <f>S84+T84</f>
        <v>168</v>
      </c>
      <c r="V84" s="61">
        <f>R84-U84</f>
        <v>-8</v>
      </c>
      <c r="W84" s="90">
        <f>Q84+V84</f>
        <v>-8</v>
      </c>
      <c r="X84" s="70">
        <v>160</v>
      </c>
      <c r="Y84" s="70">
        <v>160</v>
      </c>
      <c r="Z84" s="70"/>
      <c r="AA84" s="70">
        <f>Y84+Z84</f>
        <v>160</v>
      </c>
      <c r="AB84" s="70">
        <f>X84-AA84</f>
        <v>0</v>
      </c>
      <c r="AC84" s="91">
        <f>W84+AB84</f>
        <v>-8</v>
      </c>
      <c r="AD84" s="77">
        <v>160</v>
      </c>
      <c r="AE84" s="77">
        <v>160</v>
      </c>
      <c r="AF84" s="77"/>
      <c r="AG84" s="77">
        <f>AE84+AF84</f>
        <v>160</v>
      </c>
      <c r="AH84" s="77">
        <f>AD84-AG84</f>
        <v>0</v>
      </c>
      <c r="AI84" s="40">
        <f>AC84+AH84</f>
        <v>-8</v>
      </c>
      <c r="AJ84" s="80">
        <v>160</v>
      </c>
      <c r="AK84" s="80">
        <v>160</v>
      </c>
      <c r="AL84" s="80"/>
      <c r="AM84" s="80">
        <f>AK84+AL84</f>
        <v>160</v>
      </c>
      <c r="AN84" s="80">
        <f>AJ84-AM84</f>
        <v>0</v>
      </c>
      <c r="AO84" s="80">
        <f>AI84+AN84</f>
        <v>-8</v>
      </c>
      <c r="AP84" s="82">
        <v>160</v>
      </c>
      <c r="AQ84" s="82">
        <v>160</v>
      </c>
      <c r="AR84" s="82"/>
      <c r="AS84" s="82">
        <f>AQ84+AR84</f>
        <v>160</v>
      </c>
      <c r="AT84" s="82">
        <f>AP84-AS84</f>
        <v>0</v>
      </c>
      <c r="AU84" s="82">
        <f>AO84+AT84</f>
        <v>-8</v>
      </c>
      <c r="AV84" s="77">
        <v>160</v>
      </c>
      <c r="AW84" s="77">
        <v>160</v>
      </c>
      <c r="AX84" s="77"/>
      <c r="AY84" s="77">
        <f>AW84+AX84</f>
        <v>160</v>
      </c>
      <c r="AZ84" s="77">
        <f>AV84-AY84</f>
        <v>0</v>
      </c>
      <c r="BA84" s="77">
        <f>AU84+AZ84</f>
        <v>-8</v>
      </c>
      <c r="BB84" s="58">
        <v>160</v>
      </c>
      <c r="BC84" s="58"/>
      <c r="BD84" s="58"/>
      <c r="BE84" s="58">
        <v>0</v>
      </c>
      <c r="BF84" s="58">
        <v>160</v>
      </c>
      <c r="BG84" s="58">
        <v>960</v>
      </c>
      <c r="BH84" s="77">
        <v>160</v>
      </c>
      <c r="BI84" s="77"/>
      <c r="BJ84" s="77"/>
      <c r="BK84" s="77">
        <v>0</v>
      </c>
      <c r="BL84" s="77">
        <v>160</v>
      </c>
      <c r="BM84" s="77">
        <v>960</v>
      </c>
      <c r="BN84" s="80">
        <v>160</v>
      </c>
      <c r="BO84" s="80"/>
      <c r="BP84" s="80"/>
      <c r="BQ84" s="80">
        <v>0</v>
      </c>
      <c r="BR84" s="80">
        <v>160</v>
      </c>
      <c r="BS84" s="80">
        <v>960</v>
      </c>
    </row>
    <row r="85" spans="1:71" s="32" customFormat="1">
      <c r="A85" s="87" t="s">
        <v>115</v>
      </c>
      <c r="B85" s="87" t="s">
        <v>117</v>
      </c>
      <c r="C85" s="87">
        <v>34331024</v>
      </c>
      <c r="D85" s="88">
        <v>46083</v>
      </c>
      <c r="E85" s="88">
        <v>46264</v>
      </c>
      <c r="F85" s="89"/>
      <c r="L85" s="58">
        <v>152</v>
      </c>
      <c r="M85" s="64">
        <v>120</v>
      </c>
      <c r="N85" s="58">
        <v>32</v>
      </c>
      <c r="O85" s="58">
        <f>M85+N85</f>
        <v>152</v>
      </c>
      <c r="P85" s="58">
        <f>L85-O85</f>
        <v>0</v>
      </c>
      <c r="Q85" s="65">
        <f>K85+P85</f>
        <v>0</v>
      </c>
      <c r="R85" s="61">
        <v>160</v>
      </c>
      <c r="S85" s="61">
        <v>144</v>
      </c>
      <c r="T85" s="61">
        <v>8</v>
      </c>
      <c r="U85" s="61">
        <f>S85+T85</f>
        <v>152</v>
      </c>
      <c r="V85" s="61">
        <f>R85-U85</f>
        <v>8</v>
      </c>
      <c r="W85" s="90">
        <f>Q85+V85</f>
        <v>8</v>
      </c>
      <c r="X85" s="70">
        <v>160</v>
      </c>
      <c r="Y85" s="70">
        <v>152</v>
      </c>
      <c r="Z85" s="70"/>
      <c r="AA85" s="70">
        <f>Y85+Z85</f>
        <v>152</v>
      </c>
      <c r="AB85" s="70">
        <f>X85-AA85</f>
        <v>8</v>
      </c>
      <c r="AC85" s="91">
        <f>W85+AB85</f>
        <v>16</v>
      </c>
      <c r="AD85" s="77">
        <v>160</v>
      </c>
      <c r="AE85" s="77">
        <v>144</v>
      </c>
      <c r="AF85" s="77"/>
      <c r="AG85" s="77">
        <f>AE85+AF85</f>
        <v>144</v>
      </c>
      <c r="AH85" s="77">
        <f>AD85-AG85</f>
        <v>16</v>
      </c>
      <c r="AI85" s="40">
        <f>AC85+AH85</f>
        <v>32</v>
      </c>
      <c r="AJ85" s="80">
        <v>160</v>
      </c>
      <c r="AK85" s="80">
        <v>184</v>
      </c>
      <c r="AL85" s="80"/>
      <c r="AM85" s="80">
        <f>AK85+AL85</f>
        <v>184</v>
      </c>
      <c r="AN85" s="80">
        <f>AJ85-AM85</f>
        <v>-24</v>
      </c>
      <c r="AO85" s="80">
        <f>AI85+AN85</f>
        <v>8</v>
      </c>
      <c r="AP85" s="82">
        <v>160</v>
      </c>
      <c r="AQ85" s="82">
        <v>152</v>
      </c>
      <c r="AR85" s="82"/>
      <c r="AS85" s="82">
        <f>AQ85+AR85</f>
        <v>152</v>
      </c>
      <c r="AT85" s="82">
        <f>AP85-AS85</f>
        <v>8</v>
      </c>
      <c r="AU85" s="82">
        <f>AO85+AT85</f>
        <v>16</v>
      </c>
      <c r="AV85" s="77">
        <v>160</v>
      </c>
      <c r="AW85" s="63"/>
      <c r="AX85" s="77"/>
      <c r="AY85" s="77">
        <f>AW85+AX85</f>
        <v>0</v>
      </c>
      <c r="AZ85" s="77">
        <f>AV85-AY85</f>
        <v>160</v>
      </c>
      <c r="BA85" s="77">
        <f>AU85+AZ85</f>
        <v>176</v>
      </c>
      <c r="BB85" s="58">
        <v>160</v>
      </c>
      <c r="BC85" s="58"/>
      <c r="BD85" s="58"/>
      <c r="BE85" s="58">
        <v>0</v>
      </c>
      <c r="BF85" s="58">
        <v>160</v>
      </c>
      <c r="BG85" s="58">
        <v>960</v>
      </c>
      <c r="BH85" s="77">
        <v>160</v>
      </c>
      <c r="BI85" s="77"/>
      <c r="BJ85" s="77"/>
      <c r="BK85" s="77">
        <v>0</v>
      </c>
      <c r="BL85" s="77">
        <v>160</v>
      </c>
      <c r="BM85" s="77">
        <v>960</v>
      </c>
      <c r="BN85" s="80">
        <v>160</v>
      </c>
      <c r="BO85" s="80"/>
      <c r="BP85" s="80"/>
      <c r="BQ85" s="80">
        <v>0</v>
      </c>
      <c r="BR85" s="80">
        <v>160</v>
      </c>
      <c r="BS85" s="80">
        <v>960</v>
      </c>
    </row>
    <row r="86" spans="1:71" s="32" customFormat="1">
      <c r="A86" s="87" t="s">
        <v>115</v>
      </c>
      <c r="B86" s="87" t="s">
        <v>118</v>
      </c>
      <c r="C86" s="87">
        <v>34620117</v>
      </c>
      <c r="D86" s="88">
        <v>46083</v>
      </c>
      <c r="E86" s="88">
        <v>46264</v>
      </c>
      <c r="F86" s="89"/>
      <c r="L86" s="58">
        <v>152</v>
      </c>
      <c r="M86" s="63">
        <f>48+16+8</f>
        <v>72</v>
      </c>
      <c r="N86" s="58">
        <f>24+8</f>
        <v>32</v>
      </c>
      <c r="O86" s="58">
        <f>M86+N86</f>
        <v>104</v>
      </c>
      <c r="P86" s="58">
        <f>L86-O86</f>
        <v>48</v>
      </c>
      <c r="Q86" s="86">
        <f>K86+P86</f>
        <v>48</v>
      </c>
      <c r="R86" s="61">
        <v>160</v>
      </c>
      <c r="S86" s="61">
        <v>184</v>
      </c>
      <c r="T86" s="61">
        <v>8</v>
      </c>
      <c r="U86" s="61">
        <f>S86+T86</f>
        <v>192</v>
      </c>
      <c r="V86" s="61">
        <f>R86-U86</f>
        <v>-32</v>
      </c>
      <c r="W86" s="90">
        <f>Q86+V86</f>
        <v>16</v>
      </c>
      <c r="X86" s="70">
        <v>160</v>
      </c>
      <c r="Y86" s="70">
        <v>176</v>
      </c>
      <c r="Z86" s="70"/>
      <c r="AA86" s="70">
        <f>Y86+Z86</f>
        <v>176</v>
      </c>
      <c r="AB86" s="70">
        <f>X86-AA86</f>
        <v>-16</v>
      </c>
      <c r="AC86" s="91">
        <f>W86+AB86</f>
        <v>0</v>
      </c>
      <c r="AD86" s="77">
        <v>160</v>
      </c>
      <c r="AE86" s="77">
        <v>160</v>
      </c>
      <c r="AF86" s="77"/>
      <c r="AG86" s="77">
        <f>AE86+AF86</f>
        <v>160</v>
      </c>
      <c r="AH86" s="77">
        <f>AD86-AG86</f>
        <v>0</v>
      </c>
      <c r="AI86" s="40">
        <f>AC86+AH86</f>
        <v>0</v>
      </c>
      <c r="AJ86" s="80">
        <v>160</v>
      </c>
      <c r="AK86" s="80">
        <v>160</v>
      </c>
      <c r="AL86" s="80"/>
      <c r="AM86" s="80">
        <f>AK86+AL86</f>
        <v>160</v>
      </c>
      <c r="AN86" s="80">
        <f>AJ86-AM86</f>
        <v>0</v>
      </c>
      <c r="AO86" s="80">
        <f>AI86+AN86</f>
        <v>0</v>
      </c>
      <c r="AP86" s="82">
        <v>160</v>
      </c>
      <c r="AQ86" s="82">
        <v>176</v>
      </c>
      <c r="AR86" s="82"/>
      <c r="AS86" s="82">
        <f>AQ86+AR86</f>
        <v>176</v>
      </c>
      <c r="AT86" s="82">
        <f>AP86-AS86</f>
        <v>-16</v>
      </c>
      <c r="AU86" s="82">
        <f>AO86+AT86</f>
        <v>-16</v>
      </c>
      <c r="AV86" s="77">
        <v>160</v>
      </c>
      <c r="AW86" s="63"/>
      <c r="AX86" s="77"/>
      <c r="AY86" s="77">
        <f>AW86+AX86</f>
        <v>0</v>
      </c>
      <c r="AZ86" s="77">
        <f>AV86-AY86</f>
        <v>160</v>
      </c>
      <c r="BA86" s="77">
        <f>AU86+AZ86</f>
        <v>144</v>
      </c>
      <c r="BB86" s="58">
        <v>160</v>
      </c>
      <c r="BC86" s="58"/>
      <c r="BD86" s="58"/>
      <c r="BE86" s="58">
        <v>0</v>
      </c>
      <c r="BF86" s="58">
        <v>160</v>
      </c>
      <c r="BG86" s="58">
        <v>960</v>
      </c>
      <c r="BH86" s="77">
        <v>160</v>
      </c>
      <c r="BI86" s="77"/>
      <c r="BJ86" s="77"/>
      <c r="BK86" s="77">
        <v>0</v>
      </c>
      <c r="BL86" s="77">
        <v>160</v>
      </c>
      <c r="BM86" s="77">
        <v>960</v>
      </c>
      <c r="BN86" s="80">
        <v>160</v>
      </c>
      <c r="BO86" s="80"/>
      <c r="BP86" s="80"/>
      <c r="BQ86" s="80">
        <v>0</v>
      </c>
      <c r="BR86" s="80">
        <v>160</v>
      </c>
      <c r="BS86" s="80">
        <v>960</v>
      </c>
    </row>
    <row r="87" spans="1:71" s="32" customFormat="1">
      <c r="A87" s="87" t="s">
        <v>115</v>
      </c>
      <c r="B87" s="87" t="s">
        <v>119</v>
      </c>
      <c r="C87" s="87">
        <v>1061776323</v>
      </c>
      <c r="D87" s="88">
        <v>46083</v>
      </c>
      <c r="E87" s="88">
        <v>46264</v>
      </c>
      <c r="F87" s="89"/>
      <c r="L87" s="58">
        <v>152</v>
      </c>
      <c r="M87" s="64">
        <v>120</v>
      </c>
      <c r="N87" s="58">
        <v>32</v>
      </c>
      <c r="O87" s="58">
        <f>M87+N87</f>
        <v>152</v>
      </c>
      <c r="P87" s="58">
        <f>L87-O87</f>
        <v>0</v>
      </c>
      <c r="Q87" s="65">
        <f>K87+P87</f>
        <v>0</v>
      </c>
      <c r="R87" s="61">
        <v>160</v>
      </c>
      <c r="S87" s="61">
        <v>160</v>
      </c>
      <c r="T87" s="61"/>
      <c r="U87" s="61">
        <f>S87+T87</f>
        <v>160</v>
      </c>
      <c r="V87" s="61">
        <f>R87-U87</f>
        <v>0</v>
      </c>
      <c r="W87" s="90">
        <f>Q87+V87</f>
        <v>0</v>
      </c>
      <c r="X87" s="70">
        <v>160</v>
      </c>
      <c r="Y87" s="70">
        <v>160</v>
      </c>
      <c r="Z87" s="70"/>
      <c r="AA87" s="70">
        <f>Y87+Z87</f>
        <v>160</v>
      </c>
      <c r="AB87" s="70">
        <f>X87-AA87</f>
        <v>0</v>
      </c>
      <c r="AC87" s="91">
        <f>W87+AB87</f>
        <v>0</v>
      </c>
      <c r="AD87" s="77">
        <v>160</v>
      </c>
      <c r="AE87" s="77">
        <v>160</v>
      </c>
      <c r="AF87" s="77"/>
      <c r="AG87" s="77">
        <f>AE87+AF87</f>
        <v>160</v>
      </c>
      <c r="AH87" s="77">
        <f>AD87-AG87</f>
        <v>0</v>
      </c>
      <c r="AI87" s="40">
        <f>AC87+AH87</f>
        <v>0</v>
      </c>
      <c r="AJ87" s="80">
        <v>160</v>
      </c>
      <c r="AK87" s="80">
        <v>160</v>
      </c>
      <c r="AL87" s="80"/>
      <c r="AM87" s="80">
        <f>AK87+AL87</f>
        <v>160</v>
      </c>
      <c r="AN87" s="80">
        <f>AJ87-AM87</f>
        <v>0</v>
      </c>
      <c r="AO87" s="80">
        <f>AI87+AN87</f>
        <v>0</v>
      </c>
      <c r="AP87" s="82">
        <v>160</v>
      </c>
      <c r="AQ87" s="82">
        <v>152</v>
      </c>
      <c r="AR87" s="82"/>
      <c r="AS87" s="82">
        <f>AQ87+AR87</f>
        <v>152</v>
      </c>
      <c r="AT87" s="82">
        <f>AP87-AS87</f>
        <v>8</v>
      </c>
      <c r="AU87" s="82">
        <f>AO87+AT87</f>
        <v>8</v>
      </c>
      <c r="AV87" s="77">
        <v>160</v>
      </c>
      <c r="AW87" s="63"/>
      <c r="AX87" s="77"/>
      <c r="AY87" s="77">
        <f>AW87+AX87</f>
        <v>0</v>
      </c>
      <c r="AZ87" s="77">
        <f>AV87-AY87</f>
        <v>160</v>
      </c>
      <c r="BA87" s="77">
        <f>AU87+AZ87</f>
        <v>168</v>
      </c>
      <c r="BB87" s="58">
        <v>160</v>
      </c>
      <c r="BC87" s="58"/>
      <c r="BD87" s="58"/>
      <c r="BE87" s="58">
        <v>0</v>
      </c>
      <c r="BF87" s="58">
        <v>160</v>
      </c>
      <c r="BG87" s="58">
        <v>960</v>
      </c>
      <c r="BH87" s="77">
        <v>160</v>
      </c>
      <c r="BI87" s="77"/>
      <c r="BJ87" s="77"/>
      <c r="BK87" s="77">
        <v>0</v>
      </c>
      <c r="BL87" s="77">
        <v>160</v>
      </c>
      <c r="BM87" s="77">
        <v>960</v>
      </c>
      <c r="BN87" s="80">
        <v>160</v>
      </c>
      <c r="BO87" s="80"/>
      <c r="BP87" s="80"/>
      <c r="BQ87" s="80">
        <v>0</v>
      </c>
      <c r="BR87" s="80">
        <v>160</v>
      </c>
      <c r="BS87" s="80">
        <v>960</v>
      </c>
    </row>
    <row r="88" spans="1:71" s="32" customFormat="1">
      <c r="A88" s="87" t="s">
        <v>115</v>
      </c>
      <c r="B88" s="87" t="s">
        <v>120</v>
      </c>
      <c r="C88" s="87">
        <v>25272742</v>
      </c>
      <c r="D88" s="88">
        <v>46083</v>
      </c>
      <c r="E88" s="88">
        <v>46264</v>
      </c>
      <c r="F88" s="89"/>
      <c r="L88" s="58">
        <v>152</v>
      </c>
      <c r="M88" s="64">
        <v>120</v>
      </c>
      <c r="N88" s="58">
        <v>32</v>
      </c>
      <c r="O88" s="58">
        <f>M88+N88</f>
        <v>152</v>
      </c>
      <c r="P88" s="58">
        <f>L88-O88</f>
        <v>0</v>
      </c>
      <c r="Q88" s="65">
        <f>K88+P88</f>
        <v>0</v>
      </c>
      <c r="R88" s="61">
        <v>160</v>
      </c>
      <c r="S88" s="61">
        <v>160</v>
      </c>
      <c r="T88" s="61">
        <v>8</v>
      </c>
      <c r="U88" s="61">
        <f>S88+T88</f>
        <v>168</v>
      </c>
      <c r="V88" s="61">
        <f>R88-U88</f>
        <v>-8</v>
      </c>
      <c r="W88" s="90">
        <f>Q88+V88</f>
        <v>-8</v>
      </c>
      <c r="X88" s="70">
        <v>160</v>
      </c>
      <c r="Y88" s="70">
        <v>160</v>
      </c>
      <c r="Z88" s="70"/>
      <c r="AA88" s="70">
        <f>Y88+Z88</f>
        <v>160</v>
      </c>
      <c r="AB88" s="70">
        <f>X88-AA88</f>
        <v>0</v>
      </c>
      <c r="AC88" s="91">
        <f>W88+AB88</f>
        <v>-8</v>
      </c>
      <c r="AD88" s="77">
        <v>160</v>
      </c>
      <c r="AE88" s="77">
        <v>160</v>
      </c>
      <c r="AF88" s="77"/>
      <c r="AG88" s="77">
        <f>AE88+AF88</f>
        <v>160</v>
      </c>
      <c r="AH88" s="77">
        <f>AD88-AG88</f>
        <v>0</v>
      </c>
      <c r="AI88" s="40">
        <f>AC88+AH88</f>
        <v>-8</v>
      </c>
      <c r="AJ88" s="80">
        <v>160</v>
      </c>
      <c r="AK88" s="80">
        <v>160</v>
      </c>
      <c r="AL88" s="80"/>
      <c r="AM88" s="80">
        <f>AK88+AL88</f>
        <v>160</v>
      </c>
      <c r="AN88" s="80">
        <f>AJ88-AM88</f>
        <v>0</v>
      </c>
      <c r="AO88" s="80">
        <f>AI88+AN88</f>
        <v>-8</v>
      </c>
      <c r="AP88" s="82">
        <v>160</v>
      </c>
      <c r="AQ88" s="82">
        <v>144</v>
      </c>
      <c r="AR88" s="82"/>
      <c r="AS88" s="82">
        <f>AQ88+AR88</f>
        <v>144</v>
      </c>
      <c r="AT88" s="82">
        <f>AP88-AS88</f>
        <v>16</v>
      </c>
      <c r="AU88" s="82">
        <f>AO88+AT88</f>
        <v>8</v>
      </c>
      <c r="AV88" s="77">
        <v>160</v>
      </c>
      <c r="AW88" s="77">
        <v>112</v>
      </c>
      <c r="AX88" s="77"/>
      <c r="AY88" s="77">
        <f>AW88+AX88</f>
        <v>112</v>
      </c>
      <c r="AZ88" s="77">
        <f>AV88-AY88</f>
        <v>48</v>
      </c>
      <c r="BA88" s="77">
        <f>AU88+AZ88</f>
        <v>56</v>
      </c>
      <c r="BB88" s="58">
        <v>160</v>
      </c>
      <c r="BC88" s="58"/>
      <c r="BD88" s="58"/>
      <c r="BE88" s="58">
        <v>0</v>
      </c>
      <c r="BF88" s="58">
        <v>160</v>
      </c>
      <c r="BG88" s="58">
        <v>960</v>
      </c>
      <c r="BH88" s="77">
        <v>160</v>
      </c>
      <c r="BI88" s="77"/>
      <c r="BJ88" s="77"/>
      <c r="BK88" s="77">
        <v>0</v>
      </c>
      <c r="BL88" s="77">
        <v>160</v>
      </c>
      <c r="BM88" s="77">
        <v>960</v>
      </c>
      <c r="BN88" s="80">
        <v>160</v>
      </c>
      <c r="BO88" s="80"/>
      <c r="BP88" s="80"/>
      <c r="BQ88" s="80">
        <v>0</v>
      </c>
      <c r="BR88" s="80">
        <v>160</v>
      </c>
      <c r="BS88" s="80">
        <v>960</v>
      </c>
    </row>
    <row r="89" spans="1:71" s="32" customFormat="1">
      <c r="A89" s="87" t="s">
        <v>115</v>
      </c>
      <c r="B89" s="87" t="s">
        <v>121</v>
      </c>
      <c r="C89" s="87">
        <v>34324648</v>
      </c>
      <c r="D89" s="88">
        <v>46069</v>
      </c>
      <c r="E89" s="88">
        <v>46368</v>
      </c>
      <c r="F89" s="40">
        <f>(DAY(D89)-30-1)*-1</f>
        <v>15</v>
      </c>
      <c r="G89" s="92">
        <v>80</v>
      </c>
      <c r="H89" s="32">
        <v>48</v>
      </c>
      <c r="I89" s="32">
        <v>24</v>
      </c>
      <c r="J89" s="32">
        <f>H89+I89</f>
        <v>72</v>
      </c>
      <c r="K89" s="86">
        <f>G89-J89</f>
        <v>8</v>
      </c>
      <c r="L89" s="58">
        <v>160</v>
      </c>
      <c r="M89" s="64">
        <v>160</v>
      </c>
      <c r="N89" s="58">
        <v>8</v>
      </c>
      <c r="O89" s="58">
        <f>M89+N89</f>
        <v>168</v>
      </c>
      <c r="P89" s="58">
        <f>L89-O89</f>
        <v>-8</v>
      </c>
      <c r="Q89" s="65">
        <f>K89+P89</f>
        <v>0</v>
      </c>
      <c r="R89" s="61">
        <v>160</v>
      </c>
      <c r="S89" s="61">
        <v>160</v>
      </c>
      <c r="T89" s="61">
        <v>8</v>
      </c>
      <c r="U89" s="61">
        <f>S89+T89</f>
        <v>168</v>
      </c>
      <c r="V89" s="61">
        <f>R89-U89</f>
        <v>-8</v>
      </c>
      <c r="W89" s="90">
        <f>Q89+V89</f>
        <v>-8</v>
      </c>
      <c r="X89" s="70">
        <v>160</v>
      </c>
      <c r="Y89" s="70">
        <v>160</v>
      </c>
      <c r="Z89" s="70"/>
      <c r="AA89" s="70">
        <f>Y89+Z89</f>
        <v>160</v>
      </c>
      <c r="AB89" s="70">
        <f>X89-AA89</f>
        <v>0</v>
      </c>
      <c r="AC89" s="91">
        <f>W89+AB89</f>
        <v>-8</v>
      </c>
      <c r="AD89" s="77">
        <v>160</v>
      </c>
      <c r="AE89" s="77">
        <v>160</v>
      </c>
      <c r="AF89" s="77"/>
      <c r="AG89" s="77">
        <f>AE89+AF89</f>
        <v>160</v>
      </c>
      <c r="AH89" s="77">
        <f>AD89-AG89</f>
        <v>0</v>
      </c>
      <c r="AI89" s="40">
        <f>AC89+AH89</f>
        <v>-8</v>
      </c>
      <c r="AJ89" s="80">
        <v>160</v>
      </c>
      <c r="AK89" s="80">
        <v>160</v>
      </c>
      <c r="AL89" s="80"/>
      <c r="AM89" s="80">
        <f>AK89+AL89</f>
        <v>160</v>
      </c>
      <c r="AN89" s="80">
        <f>AJ89-AM89</f>
        <v>0</v>
      </c>
      <c r="AO89" s="80">
        <f>AI89+AN89</f>
        <v>-8</v>
      </c>
      <c r="AP89" s="82">
        <v>160</v>
      </c>
      <c r="AQ89" s="82">
        <v>160</v>
      </c>
      <c r="AR89" s="82"/>
      <c r="AS89" s="82">
        <f>AQ89+AR89</f>
        <v>160</v>
      </c>
      <c r="AT89" s="82">
        <f>AP89-AS89</f>
        <v>0</v>
      </c>
      <c r="AU89" s="82">
        <f>AO89+AT89</f>
        <v>-8</v>
      </c>
      <c r="AV89" s="77">
        <v>160</v>
      </c>
      <c r="AW89" s="77">
        <v>160</v>
      </c>
      <c r="AX89" s="77"/>
      <c r="AY89" s="77">
        <f>AW89+AX89</f>
        <v>160</v>
      </c>
      <c r="AZ89" s="77">
        <f>AV89-AY89</f>
        <v>0</v>
      </c>
      <c r="BA89" s="77">
        <f>AU89+AZ89</f>
        <v>-8</v>
      </c>
      <c r="BB89" s="58">
        <v>160</v>
      </c>
      <c r="BC89" s="58"/>
      <c r="BD89" s="58"/>
      <c r="BE89" s="58">
        <v>0</v>
      </c>
      <c r="BF89" s="58">
        <v>160</v>
      </c>
      <c r="BG89" s="58">
        <v>960</v>
      </c>
      <c r="BH89" s="77">
        <v>160</v>
      </c>
      <c r="BI89" s="77"/>
      <c r="BJ89" s="77"/>
      <c r="BK89" s="77">
        <v>0</v>
      </c>
      <c r="BL89" s="77">
        <v>160</v>
      </c>
      <c r="BM89" s="77">
        <v>960</v>
      </c>
      <c r="BN89" s="80">
        <v>160</v>
      </c>
      <c r="BO89" s="80"/>
      <c r="BP89" s="80"/>
      <c r="BQ89" s="80">
        <v>0</v>
      </c>
      <c r="BR89" s="80">
        <v>160</v>
      </c>
      <c r="BS89" s="80">
        <v>960</v>
      </c>
    </row>
    <row r="90" spans="1:71" s="32" customFormat="1">
      <c r="A90" s="87" t="s">
        <v>115</v>
      </c>
      <c r="B90" s="87" t="s">
        <v>44</v>
      </c>
      <c r="C90" s="87">
        <v>4613838</v>
      </c>
      <c r="D90" s="88">
        <v>46097</v>
      </c>
      <c r="E90" s="88">
        <v>46171</v>
      </c>
      <c r="F90" s="40">
        <f>(DAY(D90)-30-1)*-1</f>
        <v>15</v>
      </c>
      <c r="G90" s="92">
        <v>80</v>
      </c>
      <c r="H90" s="32">
        <v>48</v>
      </c>
      <c r="I90" s="32">
        <v>24</v>
      </c>
      <c r="J90" s="32">
        <f>H90+I90</f>
        <v>72</v>
      </c>
      <c r="K90" s="86">
        <f>G90-J90</f>
        <v>8</v>
      </c>
      <c r="L90" s="58">
        <v>72</v>
      </c>
      <c r="M90" s="64">
        <v>56</v>
      </c>
      <c r="N90" s="58">
        <v>24</v>
      </c>
      <c r="O90" s="58">
        <f>M90+N90</f>
        <v>80</v>
      </c>
      <c r="P90" s="58">
        <f>L90-O90</f>
        <v>-8</v>
      </c>
      <c r="Q90" s="65">
        <f>K90+P90</f>
        <v>0</v>
      </c>
      <c r="R90" s="61">
        <v>160</v>
      </c>
      <c r="S90" s="61">
        <v>165</v>
      </c>
      <c r="T90" s="61">
        <v>8</v>
      </c>
      <c r="U90" s="61">
        <f>S90+T90</f>
        <v>173</v>
      </c>
      <c r="V90" s="61">
        <f>R90-U90</f>
        <v>-13</v>
      </c>
      <c r="W90" s="90">
        <f>Q90+V90</f>
        <v>-13</v>
      </c>
      <c r="X90" s="70">
        <v>160</v>
      </c>
      <c r="Y90" s="70">
        <v>148</v>
      </c>
      <c r="Z90" s="70"/>
      <c r="AA90" s="70">
        <f>Y90+Z90</f>
        <v>148</v>
      </c>
      <c r="AB90" s="70">
        <f>X90-AA90</f>
        <v>12</v>
      </c>
      <c r="AC90" s="91">
        <f>W90+AB90</f>
        <v>-1</v>
      </c>
      <c r="AD90" s="77">
        <v>160</v>
      </c>
      <c r="AE90" s="77"/>
      <c r="AF90" s="77"/>
      <c r="AG90" s="77">
        <f>AE90+AF90</f>
        <v>0</v>
      </c>
      <c r="AH90" s="77">
        <f>AD90-AG90</f>
        <v>160</v>
      </c>
      <c r="AI90" s="40">
        <f>AC90+AH90</f>
        <v>159</v>
      </c>
      <c r="AJ90" s="80">
        <v>160</v>
      </c>
      <c r="AK90" s="80">
        <v>160</v>
      </c>
      <c r="AL90" s="80"/>
      <c r="AM90" s="80"/>
      <c r="AN90" s="80"/>
      <c r="AO90" s="80"/>
      <c r="AP90" s="82">
        <v>160</v>
      </c>
      <c r="AQ90" s="82">
        <v>160</v>
      </c>
      <c r="AR90" s="82"/>
      <c r="AS90" s="82">
        <f>AQ90+AR90</f>
        <v>160</v>
      </c>
      <c r="AT90" s="82">
        <f>AP90-AS90</f>
        <v>0</v>
      </c>
      <c r="AU90" s="82">
        <f>AO90+AT90</f>
        <v>0</v>
      </c>
      <c r="AV90" s="77">
        <v>160</v>
      </c>
      <c r="AW90" s="77"/>
      <c r="AX90" s="77"/>
      <c r="AY90" s="77">
        <f>AW90+AX90</f>
        <v>0</v>
      </c>
      <c r="AZ90" s="77">
        <f>AV90-AY90</f>
        <v>160</v>
      </c>
      <c r="BA90" s="77">
        <f>AU90+AZ90</f>
        <v>160</v>
      </c>
      <c r="BB90" s="58">
        <v>160</v>
      </c>
      <c r="BC90" s="58"/>
      <c r="BD90" s="58"/>
      <c r="BE90" s="58">
        <v>0</v>
      </c>
      <c r="BF90" s="58">
        <v>160</v>
      </c>
      <c r="BG90" s="58">
        <v>960</v>
      </c>
      <c r="BH90" s="77">
        <v>160</v>
      </c>
      <c r="BI90" s="77"/>
      <c r="BJ90" s="77"/>
      <c r="BK90" s="77">
        <v>0</v>
      </c>
      <c r="BL90" s="77">
        <v>160</v>
      </c>
      <c r="BM90" s="77">
        <v>960</v>
      </c>
      <c r="BN90" s="80">
        <v>160</v>
      </c>
      <c r="BO90" s="80"/>
      <c r="BP90" s="80"/>
      <c r="BQ90" s="80">
        <v>0</v>
      </c>
      <c r="BR90" s="80">
        <v>160</v>
      </c>
      <c r="BS90" s="80">
        <v>960</v>
      </c>
    </row>
    <row r="91" spans="1:71" s="32" customFormat="1">
      <c r="A91" s="87" t="s">
        <v>115</v>
      </c>
      <c r="B91" s="87" t="s">
        <v>122</v>
      </c>
      <c r="C91" s="87">
        <v>48601184</v>
      </c>
      <c r="D91" s="88">
        <v>46083</v>
      </c>
      <c r="E91" s="88">
        <v>46264</v>
      </c>
      <c r="F91" s="89"/>
      <c r="L91" s="58">
        <v>152</v>
      </c>
      <c r="M91" s="63">
        <v>80</v>
      </c>
      <c r="N91" s="58">
        <v>32</v>
      </c>
      <c r="O91" s="58">
        <f>M91+N91</f>
        <v>112</v>
      </c>
      <c r="P91" s="58">
        <f>L91-O91</f>
        <v>40</v>
      </c>
      <c r="Q91" s="65">
        <f>K91+P91</f>
        <v>40</v>
      </c>
      <c r="R91" s="61">
        <v>160</v>
      </c>
      <c r="S91" s="61">
        <v>184</v>
      </c>
      <c r="T91" s="61">
        <v>8</v>
      </c>
      <c r="U91" s="61">
        <f>S91+T91</f>
        <v>192</v>
      </c>
      <c r="V91" s="61">
        <f>R91-U91</f>
        <v>-32</v>
      </c>
      <c r="W91" s="90">
        <f>Q91+V91</f>
        <v>8</v>
      </c>
      <c r="X91" s="70">
        <v>160</v>
      </c>
      <c r="Y91" s="70">
        <v>192</v>
      </c>
      <c r="Z91" s="70"/>
      <c r="AA91" s="70">
        <f>Y91+Z91</f>
        <v>192</v>
      </c>
      <c r="AB91" s="70">
        <f>X91-AA91</f>
        <v>-32</v>
      </c>
      <c r="AC91" s="91">
        <f>W91+AB91</f>
        <v>-24</v>
      </c>
      <c r="AD91" s="77">
        <v>160</v>
      </c>
      <c r="AE91" s="77">
        <v>160</v>
      </c>
      <c r="AF91" s="77"/>
      <c r="AG91" s="77">
        <f>AE91+AF91</f>
        <v>160</v>
      </c>
      <c r="AH91" s="77">
        <f>AD91-AG91</f>
        <v>0</v>
      </c>
      <c r="AI91" s="40">
        <f>AC91+AH91</f>
        <v>-24</v>
      </c>
      <c r="AJ91" s="80">
        <v>160</v>
      </c>
      <c r="AK91" s="80">
        <v>160</v>
      </c>
      <c r="AL91" s="80"/>
      <c r="AM91" s="80">
        <f>AK91+AL91</f>
        <v>160</v>
      </c>
      <c r="AN91" s="80">
        <f>AJ91-AM91</f>
        <v>0</v>
      </c>
      <c r="AO91" s="80">
        <f>AI91+AN91</f>
        <v>-24</v>
      </c>
      <c r="AP91" s="82">
        <v>160</v>
      </c>
      <c r="AQ91" s="82">
        <v>168</v>
      </c>
      <c r="AR91" s="82"/>
      <c r="AS91" s="82">
        <f>AQ91+AR91</f>
        <v>168</v>
      </c>
      <c r="AT91" s="82">
        <f>AP91-AS91</f>
        <v>-8</v>
      </c>
      <c r="AU91" s="82">
        <f>AO91+AT91</f>
        <v>-32</v>
      </c>
      <c r="AV91" s="77">
        <v>160</v>
      </c>
      <c r="AW91" s="63"/>
      <c r="AX91" s="77"/>
      <c r="AY91" s="77">
        <f>AW91+AX91</f>
        <v>0</v>
      </c>
      <c r="AZ91" s="77">
        <f>AV91-AY91</f>
        <v>160</v>
      </c>
      <c r="BA91" s="77">
        <f>AU91+AZ91</f>
        <v>128</v>
      </c>
      <c r="BB91" s="58">
        <v>160</v>
      </c>
      <c r="BC91" s="58"/>
      <c r="BD91" s="58"/>
      <c r="BE91" s="58">
        <v>0</v>
      </c>
      <c r="BF91" s="58">
        <v>160</v>
      </c>
      <c r="BG91" s="58">
        <v>960</v>
      </c>
      <c r="BH91" s="77">
        <v>160</v>
      </c>
      <c r="BI91" s="77"/>
      <c r="BJ91" s="77"/>
      <c r="BK91" s="77">
        <v>0</v>
      </c>
      <c r="BL91" s="77">
        <v>160</v>
      </c>
      <c r="BM91" s="77">
        <v>960</v>
      </c>
      <c r="BN91" s="80">
        <v>160</v>
      </c>
      <c r="BO91" s="80"/>
      <c r="BP91" s="80"/>
      <c r="BQ91" s="80">
        <v>0</v>
      </c>
      <c r="BR91" s="80">
        <v>160</v>
      </c>
      <c r="BS91" s="80">
        <v>960</v>
      </c>
    </row>
    <row r="92" spans="1:71">
      <c r="A92" s="45" t="s">
        <v>123</v>
      </c>
      <c r="B92" s="44" t="s">
        <v>124</v>
      </c>
      <c r="C92" s="48">
        <v>76313557</v>
      </c>
      <c r="D92" s="50">
        <v>46055</v>
      </c>
      <c r="E92" s="50">
        <v>46003</v>
      </c>
      <c r="L92" s="110">
        <v>160</v>
      </c>
      <c r="M92" s="110">
        <v>160</v>
      </c>
      <c r="N92" s="110">
        <v>0</v>
      </c>
      <c r="O92" s="110">
        <f>M92+N92</f>
        <v>160</v>
      </c>
      <c r="P92" s="110">
        <f>L92-O92</f>
        <v>0</v>
      </c>
      <c r="Q92" s="111">
        <f>K92+P92</f>
        <v>0</v>
      </c>
      <c r="R92" s="112">
        <v>160</v>
      </c>
      <c r="S92" s="112">
        <v>160</v>
      </c>
      <c r="T92" s="112">
        <v>8</v>
      </c>
      <c r="U92" s="112">
        <f>S92+T92</f>
        <v>168</v>
      </c>
      <c r="V92" s="112">
        <f>R92-U92</f>
        <v>-8</v>
      </c>
      <c r="W92" s="113">
        <f>Q92+V92</f>
        <v>-8</v>
      </c>
      <c r="X92" s="114">
        <v>160</v>
      </c>
      <c r="Y92" s="114">
        <v>160</v>
      </c>
      <c r="Z92" s="114"/>
      <c r="AA92" s="114">
        <f>Y92+Z92</f>
        <v>160</v>
      </c>
      <c r="AB92" s="114">
        <f>X92-AA92</f>
        <v>0</v>
      </c>
      <c r="AC92" s="115">
        <f>W92+AB92</f>
        <v>-8</v>
      </c>
      <c r="AD92" s="116">
        <v>160</v>
      </c>
      <c r="AE92" s="116">
        <v>160</v>
      </c>
      <c r="AF92" s="116"/>
      <c r="AG92" s="116">
        <f>AE92+AF92</f>
        <v>160</v>
      </c>
      <c r="AH92" s="116">
        <f>AD92-AG92</f>
        <v>0</v>
      </c>
      <c r="AI92" s="117">
        <f>AC92+AH92</f>
        <v>-8</v>
      </c>
      <c r="AJ92" s="118">
        <v>160</v>
      </c>
      <c r="AK92" s="118">
        <v>160</v>
      </c>
      <c r="AL92" s="118"/>
      <c r="AM92" s="118">
        <f>AK92+AL92</f>
        <v>160</v>
      </c>
      <c r="AN92" s="118">
        <f>AJ92-AM92</f>
        <v>0</v>
      </c>
      <c r="AO92" s="118">
        <f>AI92+AN92</f>
        <v>-8</v>
      </c>
      <c r="AP92" s="119">
        <v>160</v>
      </c>
      <c r="AQ92" s="119">
        <v>160</v>
      </c>
      <c r="AR92" s="119"/>
      <c r="AS92" s="119">
        <f>AQ92+AR92</f>
        <v>160</v>
      </c>
      <c r="AT92" s="119">
        <f>AP92-AS92</f>
        <v>0</v>
      </c>
      <c r="AU92" s="119">
        <f>AO92+AT92</f>
        <v>-8</v>
      </c>
      <c r="AV92" s="116">
        <v>160</v>
      </c>
      <c r="AW92" s="116">
        <v>160</v>
      </c>
      <c r="AX92" s="116"/>
      <c r="AY92" s="116">
        <f>AW92+AX92</f>
        <v>160</v>
      </c>
      <c r="AZ92" s="116">
        <f>AV92-AY92</f>
        <v>0</v>
      </c>
      <c r="BA92" s="116">
        <f>AU92+AZ92</f>
        <v>-8</v>
      </c>
      <c r="BB92" s="110">
        <v>160</v>
      </c>
      <c r="BC92" s="110"/>
      <c r="BD92" s="110"/>
      <c r="BE92" s="110">
        <v>0</v>
      </c>
      <c r="BF92" s="110">
        <v>160</v>
      </c>
      <c r="BG92" s="110">
        <v>960</v>
      </c>
      <c r="BH92" s="116">
        <v>160</v>
      </c>
      <c r="BI92" s="116"/>
      <c r="BJ92" s="116"/>
      <c r="BK92" s="116">
        <v>0</v>
      </c>
      <c r="BL92" s="116">
        <v>160</v>
      </c>
      <c r="BM92" s="116">
        <v>960</v>
      </c>
      <c r="BN92" s="118">
        <v>160</v>
      </c>
      <c r="BO92" s="118"/>
      <c r="BP92" s="118"/>
      <c r="BQ92" s="118">
        <v>0</v>
      </c>
      <c r="BR92" s="118">
        <v>160</v>
      </c>
      <c r="BS92" s="118">
        <v>960</v>
      </c>
    </row>
    <row r="93" spans="1:71">
      <c r="A93" s="47" t="s">
        <v>123</v>
      </c>
      <c r="B93" s="44" t="s">
        <v>125</v>
      </c>
      <c r="C93" s="48">
        <v>34323328</v>
      </c>
      <c r="D93" s="50">
        <v>46055</v>
      </c>
      <c r="E93" s="50">
        <v>46003</v>
      </c>
      <c r="L93" s="58">
        <v>160</v>
      </c>
      <c r="M93" s="58">
        <v>160</v>
      </c>
      <c r="N93" s="58">
        <v>0</v>
      </c>
      <c r="O93" s="58">
        <f>M93+N93</f>
        <v>160</v>
      </c>
      <c r="P93" s="58">
        <f>L93-O93</f>
        <v>0</v>
      </c>
      <c r="Q93" s="65">
        <f>K93+P93</f>
        <v>0</v>
      </c>
      <c r="R93" s="61">
        <v>160</v>
      </c>
      <c r="S93" s="61">
        <v>160</v>
      </c>
      <c r="T93" s="61">
        <v>8</v>
      </c>
      <c r="U93" s="61">
        <f>S93+T93</f>
        <v>168</v>
      </c>
      <c r="V93" s="61">
        <f>R93-U93</f>
        <v>-8</v>
      </c>
      <c r="W93" s="72">
        <f>Q93+V93</f>
        <v>-8</v>
      </c>
      <c r="X93" s="70">
        <v>160</v>
      </c>
      <c r="Y93" s="70">
        <v>160</v>
      </c>
      <c r="Z93" s="70"/>
      <c r="AA93" s="70">
        <f>Y93+Z93</f>
        <v>160</v>
      </c>
      <c r="AB93" s="70">
        <f>X93-AA93</f>
        <v>0</v>
      </c>
      <c r="AC93" s="73">
        <f>W93+AB93</f>
        <v>-8</v>
      </c>
      <c r="AD93" s="77">
        <v>160</v>
      </c>
      <c r="AE93" s="77">
        <v>160</v>
      </c>
      <c r="AF93" s="77"/>
      <c r="AG93" s="77">
        <f>AE93+AF93</f>
        <v>160</v>
      </c>
      <c r="AH93" s="77">
        <f>AD93-AG93</f>
        <v>0</v>
      </c>
      <c r="AI93" s="84">
        <f>AC93+AH93</f>
        <v>-8</v>
      </c>
      <c r="AJ93" s="80">
        <v>160</v>
      </c>
      <c r="AK93" s="80">
        <v>160</v>
      </c>
      <c r="AL93" s="80"/>
      <c r="AM93" s="80">
        <f>AK93+AL93</f>
        <v>160</v>
      </c>
      <c r="AN93" s="80">
        <f>AJ93-AM93</f>
        <v>0</v>
      </c>
      <c r="AO93" s="80">
        <f>AI93+AN93</f>
        <v>-8</v>
      </c>
      <c r="AP93" s="82">
        <v>160</v>
      </c>
      <c r="AQ93" s="82">
        <v>160</v>
      </c>
      <c r="AR93" s="82"/>
      <c r="AS93" s="82">
        <f>AQ93+AR93</f>
        <v>160</v>
      </c>
      <c r="AT93" s="82">
        <f>AP93-AS93</f>
        <v>0</v>
      </c>
      <c r="AU93" s="82">
        <f>AO93+AT93</f>
        <v>-8</v>
      </c>
      <c r="AV93" s="77">
        <v>160</v>
      </c>
      <c r="AW93" s="77">
        <v>160</v>
      </c>
      <c r="AX93" s="77"/>
      <c r="AY93" s="77">
        <f>AW93+AX93</f>
        <v>160</v>
      </c>
      <c r="AZ93" s="77">
        <f>AV93-AY93</f>
        <v>0</v>
      </c>
      <c r="BA93" s="77">
        <f>AU93+AZ93</f>
        <v>-8</v>
      </c>
      <c r="BB93" s="58">
        <v>160</v>
      </c>
      <c r="BC93" s="58"/>
      <c r="BD93" s="58"/>
      <c r="BE93" s="58">
        <v>0</v>
      </c>
      <c r="BF93" s="58">
        <v>160</v>
      </c>
      <c r="BG93" s="58">
        <v>960</v>
      </c>
      <c r="BH93" s="77">
        <v>160</v>
      </c>
      <c r="BI93" s="77"/>
      <c r="BJ93" s="77"/>
      <c r="BK93" s="77">
        <v>0</v>
      </c>
      <c r="BL93" s="77">
        <v>160</v>
      </c>
      <c r="BM93" s="77">
        <v>960</v>
      </c>
      <c r="BN93" s="80">
        <v>160</v>
      </c>
      <c r="BO93" s="80"/>
      <c r="BP93" s="80"/>
      <c r="BQ93" s="80">
        <v>0</v>
      </c>
      <c r="BR93" s="80">
        <v>160</v>
      </c>
      <c r="BS93" s="80">
        <v>960</v>
      </c>
    </row>
    <row r="94" spans="1:71" ht="15" customHeight="1">
      <c r="A94" s="47" t="s">
        <v>123</v>
      </c>
      <c r="B94" s="44" t="s">
        <v>126</v>
      </c>
      <c r="C94" s="48">
        <v>1058969693</v>
      </c>
      <c r="D94" s="50">
        <v>46055</v>
      </c>
      <c r="E94" s="50">
        <v>46154</v>
      </c>
      <c r="L94" s="58">
        <v>160</v>
      </c>
      <c r="M94" s="58">
        <v>160</v>
      </c>
      <c r="N94" s="58">
        <v>0</v>
      </c>
      <c r="O94" s="58">
        <f>M94+N94</f>
        <v>160</v>
      </c>
      <c r="P94" s="58">
        <f>L94-O94</f>
        <v>0</v>
      </c>
      <c r="Q94" s="65">
        <f>K94+P94</f>
        <v>0</v>
      </c>
      <c r="R94" s="61">
        <v>160</v>
      </c>
      <c r="S94" s="61">
        <v>160</v>
      </c>
      <c r="T94" s="61">
        <v>8</v>
      </c>
      <c r="U94" s="61">
        <f>S94+T94</f>
        <v>168</v>
      </c>
      <c r="V94" s="61">
        <f>R94-U94</f>
        <v>-8</v>
      </c>
      <c r="W94" s="72">
        <f>Q94+V94</f>
        <v>-8</v>
      </c>
      <c r="X94" s="70">
        <v>160</v>
      </c>
      <c r="Y94" s="70">
        <v>160</v>
      </c>
      <c r="Z94" s="70"/>
      <c r="AA94" s="70">
        <f>Y94+Z94</f>
        <v>160</v>
      </c>
      <c r="AB94" s="70">
        <f>X94-AA94</f>
        <v>0</v>
      </c>
      <c r="AC94" s="73">
        <f>W94+AB94</f>
        <v>-8</v>
      </c>
      <c r="AD94" s="77">
        <v>160</v>
      </c>
      <c r="AE94" s="77">
        <v>160</v>
      </c>
      <c r="AF94" s="77"/>
      <c r="AG94" s="77">
        <f>AE94+AF94</f>
        <v>160</v>
      </c>
      <c r="AH94" s="77">
        <f>AD94-AG94</f>
        <v>0</v>
      </c>
      <c r="AI94" s="84">
        <f>AC94+AH94</f>
        <v>-8</v>
      </c>
      <c r="AJ94" s="80">
        <v>160</v>
      </c>
      <c r="AK94" s="80">
        <v>160</v>
      </c>
      <c r="AL94" s="80"/>
      <c r="AM94" s="80">
        <f>AK94+AL94</f>
        <v>160</v>
      </c>
      <c r="AN94" s="80">
        <f>AJ94-AM94</f>
        <v>0</v>
      </c>
      <c r="AO94" s="80">
        <f>AI94+AN94</f>
        <v>-8</v>
      </c>
      <c r="AP94" s="82">
        <v>160</v>
      </c>
      <c r="AQ94" s="82">
        <v>160</v>
      </c>
      <c r="AR94" s="82"/>
      <c r="AS94" s="82">
        <f>AQ94+AR94</f>
        <v>160</v>
      </c>
      <c r="AT94" s="82">
        <f>AP94-AS94</f>
        <v>0</v>
      </c>
      <c r="AU94" s="82">
        <f>AO94+AT94</f>
        <v>-8</v>
      </c>
      <c r="AV94" s="77">
        <v>160</v>
      </c>
      <c r="AW94" s="77">
        <v>160</v>
      </c>
      <c r="AX94" s="77"/>
      <c r="AY94" s="77">
        <f>AW94+AX94</f>
        <v>160</v>
      </c>
      <c r="AZ94" s="77">
        <f>AV94-AY94</f>
        <v>0</v>
      </c>
      <c r="BA94" s="77">
        <f>AU94+AZ94</f>
        <v>-8</v>
      </c>
      <c r="BB94" s="58">
        <v>160</v>
      </c>
      <c r="BC94" s="58"/>
      <c r="BD94" s="58"/>
      <c r="BE94" s="58">
        <v>0</v>
      </c>
      <c r="BF94" s="58">
        <v>160</v>
      </c>
      <c r="BG94" s="58">
        <v>960</v>
      </c>
      <c r="BH94" s="77">
        <v>160</v>
      </c>
      <c r="BI94" s="77"/>
      <c r="BJ94" s="77"/>
      <c r="BK94" s="77">
        <v>0</v>
      </c>
      <c r="BL94" s="77">
        <v>160</v>
      </c>
      <c r="BM94" s="77">
        <v>960</v>
      </c>
      <c r="BN94" s="80">
        <v>160</v>
      </c>
      <c r="BO94" s="80"/>
      <c r="BP94" s="80"/>
      <c r="BQ94" s="80">
        <v>0</v>
      </c>
      <c r="BR94" s="80">
        <v>160</v>
      </c>
      <c r="BS94" s="80">
        <v>960</v>
      </c>
    </row>
    <row r="95" spans="1:71" ht="15" customHeight="1">
      <c r="A95" s="47" t="s">
        <v>123</v>
      </c>
      <c r="B95" s="44" t="s">
        <v>127</v>
      </c>
      <c r="C95" s="48">
        <v>34571487</v>
      </c>
      <c r="D95" s="50">
        <v>46055</v>
      </c>
      <c r="E95" s="50">
        <v>46154</v>
      </c>
      <c r="L95" s="58">
        <v>160</v>
      </c>
      <c r="M95" s="58">
        <v>160</v>
      </c>
      <c r="N95" s="58">
        <v>0</v>
      </c>
      <c r="O95" s="58">
        <f>M95+N95</f>
        <v>160</v>
      </c>
      <c r="P95" s="58">
        <f>L95-O95</f>
        <v>0</v>
      </c>
      <c r="Q95" s="65">
        <f>K95+P95</f>
        <v>0</v>
      </c>
      <c r="R95" s="61">
        <v>160</v>
      </c>
      <c r="S95" s="61">
        <v>160</v>
      </c>
      <c r="T95" s="61">
        <v>8</v>
      </c>
      <c r="U95" s="61">
        <f>S95+T95</f>
        <v>168</v>
      </c>
      <c r="V95" s="61">
        <f>R95-U95</f>
        <v>-8</v>
      </c>
      <c r="W95" s="72">
        <f>Q95+V95</f>
        <v>-8</v>
      </c>
      <c r="X95" s="70">
        <v>160</v>
      </c>
      <c r="Y95" s="70">
        <v>160</v>
      </c>
      <c r="Z95" s="70"/>
      <c r="AA95" s="70">
        <f>Y95+Z95</f>
        <v>160</v>
      </c>
      <c r="AB95" s="70">
        <f>X95-AA95</f>
        <v>0</v>
      </c>
      <c r="AC95" s="73">
        <f>W95+AB95</f>
        <v>-8</v>
      </c>
      <c r="AD95" s="77">
        <v>160</v>
      </c>
      <c r="AE95" s="77">
        <v>160</v>
      </c>
      <c r="AF95" s="77"/>
      <c r="AG95" s="77">
        <f>AE95+AF95</f>
        <v>160</v>
      </c>
      <c r="AH95" s="77">
        <f>AD95-AG95</f>
        <v>0</v>
      </c>
      <c r="AI95" s="84">
        <f>AC95+AH95</f>
        <v>-8</v>
      </c>
      <c r="AJ95" s="80">
        <v>160</v>
      </c>
      <c r="AK95" s="80">
        <v>160</v>
      </c>
      <c r="AL95" s="80"/>
      <c r="AM95" s="80">
        <f>AK95+AL95</f>
        <v>160</v>
      </c>
      <c r="AN95" s="80">
        <f>AJ95-AM95</f>
        <v>0</v>
      </c>
      <c r="AO95" s="80">
        <f>AI95+AN95</f>
        <v>-8</v>
      </c>
      <c r="AP95" s="82">
        <v>160</v>
      </c>
      <c r="AQ95" s="82">
        <v>160</v>
      </c>
      <c r="AR95" s="82"/>
      <c r="AS95" s="82">
        <f>AQ95+AR95</f>
        <v>160</v>
      </c>
      <c r="AT95" s="82">
        <f>AP95-AS95</f>
        <v>0</v>
      </c>
      <c r="AU95" s="82">
        <f>AO95+AT95</f>
        <v>-8</v>
      </c>
      <c r="AV95" s="77">
        <v>160</v>
      </c>
      <c r="AW95" s="77">
        <v>160</v>
      </c>
      <c r="AX95" s="77"/>
      <c r="AY95" s="77">
        <f>AW95+AX95</f>
        <v>160</v>
      </c>
      <c r="AZ95" s="77">
        <f>AV95-AY95</f>
        <v>0</v>
      </c>
      <c r="BA95" s="77">
        <f>AU95+AZ95</f>
        <v>-8</v>
      </c>
      <c r="BB95" s="58">
        <v>160</v>
      </c>
      <c r="BC95" s="58"/>
      <c r="BD95" s="58"/>
      <c r="BE95" s="58">
        <v>0</v>
      </c>
      <c r="BF95" s="58">
        <v>160</v>
      </c>
      <c r="BG95" s="58">
        <v>960</v>
      </c>
      <c r="BH95" s="77">
        <v>160</v>
      </c>
      <c r="BI95" s="77"/>
      <c r="BJ95" s="77"/>
      <c r="BK95" s="77">
        <v>0</v>
      </c>
      <c r="BL95" s="77">
        <v>160</v>
      </c>
      <c r="BM95" s="77">
        <v>960</v>
      </c>
      <c r="BN95" s="80">
        <v>160</v>
      </c>
      <c r="BO95" s="80"/>
      <c r="BP95" s="80"/>
      <c r="BQ95" s="80">
        <v>0</v>
      </c>
      <c r="BR95" s="80">
        <v>160</v>
      </c>
      <c r="BS95" s="80">
        <v>960</v>
      </c>
    </row>
    <row r="96" spans="1:71" ht="15" customHeight="1">
      <c r="A96" s="47" t="s">
        <v>123</v>
      </c>
      <c r="B96" s="44" t="s">
        <v>128</v>
      </c>
      <c r="C96" s="48">
        <v>1061791322</v>
      </c>
      <c r="D96" s="50">
        <v>46055</v>
      </c>
      <c r="E96" s="50">
        <v>46154</v>
      </c>
      <c r="L96" s="58">
        <v>160</v>
      </c>
      <c r="M96" s="58">
        <v>160</v>
      </c>
      <c r="N96" s="58">
        <v>0</v>
      </c>
      <c r="O96" s="58">
        <f>M96+N96</f>
        <v>160</v>
      </c>
      <c r="P96" s="58">
        <f>L96-O96</f>
        <v>0</v>
      </c>
      <c r="Q96" s="65">
        <f>K96+P96</f>
        <v>0</v>
      </c>
      <c r="R96" s="61">
        <v>160</v>
      </c>
      <c r="S96" s="61">
        <v>160</v>
      </c>
      <c r="T96" s="61">
        <v>8</v>
      </c>
      <c r="U96" s="61">
        <f>S96+T96</f>
        <v>168</v>
      </c>
      <c r="V96" s="61">
        <f>R96-U96</f>
        <v>-8</v>
      </c>
      <c r="W96" s="72">
        <f>Q96+V96</f>
        <v>-8</v>
      </c>
      <c r="X96" s="70">
        <v>160</v>
      </c>
      <c r="Y96" s="70">
        <v>160</v>
      </c>
      <c r="Z96" s="70"/>
      <c r="AA96" s="70">
        <f>Y96+Z96</f>
        <v>160</v>
      </c>
      <c r="AB96" s="70">
        <f>X96-AA96</f>
        <v>0</v>
      </c>
      <c r="AC96" s="73">
        <f>W96+AB96</f>
        <v>-8</v>
      </c>
      <c r="AD96" s="77">
        <v>160</v>
      </c>
      <c r="AE96" s="77">
        <v>160</v>
      </c>
      <c r="AF96" s="77"/>
      <c r="AG96" s="77">
        <f>AE96+AF96</f>
        <v>160</v>
      </c>
      <c r="AH96" s="77">
        <f>AD96-AG96</f>
        <v>0</v>
      </c>
      <c r="AI96" s="84">
        <f>AC96+AH96</f>
        <v>-8</v>
      </c>
      <c r="AJ96" s="80">
        <v>160</v>
      </c>
      <c r="AK96" s="80">
        <v>160</v>
      </c>
      <c r="AL96" s="80"/>
      <c r="AM96" s="80">
        <f>AK96+AL96</f>
        <v>160</v>
      </c>
      <c r="AN96" s="80">
        <f>AJ96-AM96</f>
        <v>0</v>
      </c>
      <c r="AO96" s="80">
        <f>AI96+AN96</f>
        <v>-8</v>
      </c>
      <c r="AP96" s="82">
        <v>160</v>
      </c>
      <c r="AQ96" s="82">
        <v>160</v>
      </c>
      <c r="AR96" s="82"/>
      <c r="AS96" s="82">
        <f>AQ96+AR96</f>
        <v>160</v>
      </c>
      <c r="AT96" s="82">
        <f>AP96-AS96</f>
        <v>0</v>
      </c>
      <c r="AU96" s="82">
        <f>AO96+AT96</f>
        <v>-8</v>
      </c>
      <c r="AV96" s="77">
        <v>160</v>
      </c>
      <c r="AW96" s="77">
        <v>160</v>
      </c>
      <c r="AX96" s="77"/>
      <c r="AY96" s="77">
        <f>AW96+AX96</f>
        <v>160</v>
      </c>
      <c r="AZ96" s="77">
        <f>AV96-AY96</f>
        <v>0</v>
      </c>
      <c r="BA96" s="77">
        <f>AU96+AZ96</f>
        <v>-8</v>
      </c>
      <c r="BB96" s="58">
        <v>160</v>
      </c>
      <c r="BC96" s="58"/>
      <c r="BD96" s="58"/>
      <c r="BE96" s="58">
        <v>0</v>
      </c>
      <c r="BF96" s="58">
        <v>160</v>
      </c>
      <c r="BG96" s="58">
        <v>960</v>
      </c>
      <c r="BH96" s="77">
        <v>160</v>
      </c>
      <c r="BI96" s="77"/>
      <c r="BJ96" s="77"/>
      <c r="BK96" s="77">
        <v>0</v>
      </c>
      <c r="BL96" s="77">
        <v>160</v>
      </c>
      <c r="BM96" s="77">
        <v>960</v>
      </c>
      <c r="BN96" s="80">
        <v>160</v>
      </c>
      <c r="BO96" s="80"/>
      <c r="BP96" s="80"/>
      <c r="BQ96" s="80">
        <v>0</v>
      </c>
      <c r="BR96" s="80">
        <v>160</v>
      </c>
      <c r="BS96" s="80">
        <v>960</v>
      </c>
    </row>
    <row r="97" spans="1:71" ht="15" customHeight="1">
      <c r="A97" s="47" t="s">
        <v>123</v>
      </c>
      <c r="B97" s="44" t="s">
        <v>129</v>
      </c>
      <c r="C97" s="48">
        <v>1061541075</v>
      </c>
      <c r="D97" s="50">
        <v>46055</v>
      </c>
      <c r="E97" s="50">
        <v>46154</v>
      </c>
      <c r="L97" s="58">
        <v>160</v>
      </c>
      <c r="M97" s="58">
        <v>160</v>
      </c>
      <c r="N97" s="58">
        <v>0</v>
      </c>
      <c r="O97" s="58">
        <f>M97+N97</f>
        <v>160</v>
      </c>
      <c r="P97" s="58">
        <f>L97-O97</f>
        <v>0</v>
      </c>
      <c r="Q97" s="65">
        <f>K97+P97</f>
        <v>0</v>
      </c>
      <c r="R97" s="61">
        <v>160</v>
      </c>
      <c r="S97" s="61">
        <v>160</v>
      </c>
      <c r="T97" s="61">
        <v>8</v>
      </c>
      <c r="U97" s="61">
        <f>S97+T97</f>
        <v>168</v>
      </c>
      <c r="V97" s="61">
        <f>R97-U97</f>
        <v>-8</v>
      </c>
      <c r="W97" s="72">
        <f>Q97+V97</f>
        <v>-8</v>
      </c>
      <c r="X97" s="70">
        <v>160</v>
      </c>
      <c r="Y97" s="70">
        <v>160</v>
      </c>
      <c r="Z97" s="70"/>
      <c r="AA97" s="70">
        <f>Y97+Z97</f>
        <v>160</v>
      </c>
      <c r="AB97" s="70">
        <f>X97-AA97</f>
        <v>0</v>
      </c>
      <c r="AC97" s="73">
        <f>W97+AB97</f>
        <v>-8</v>
      </c>
      <c r="AD97" s="77">
        <v>160</v>
      </c>
      <c r="AE97" s="77">
        <v>160</v>
      </c>
      <c r="AF97" s="77"/>
      <c r="AG97" s="77">
        <f>AE97+AF97</f>
        <v>160</v>
      </c>
      <c r="AH97" s="77">
        <f>AD97-AG97</f>
        <v>0</v>
      </c>
      <c r="AI97" s="84">
        <f>AC97+AH97</f>
        <v>-8</v>
      </c>
      <c r="AJ97" s="80">
        <v>160</v>
      </c>
      <c r="AK97" s="80">
        <v>160</v>
      </c>
      <c r="AL97" s="80"/>
      <c r="AM97" s="80">
        <f>AK97+AL97</f>
        <v>160</v>
      </c>
      <c r="AN97" s="80">
        <f>AJ97-AM97</f>
        <v>0</v>
      </c>
      <c r="AO97" s="80">
        <f>AI97+AN97</f>
        <v>-8</v>
      </c>
      <c r="AP97" s="82">
        <v>160</v>
      </c>
      <c r="AQ97" s="82">
        <v>160</v>
      </c>
      <c r="AR97" s="82"/>
      <c r="AS97" s="82">
        <f>AQ97+AR97</f>
        <v>160</v>
      </c>
      <c r="AT97" s="82">
        <f>AP97-AS97</f>
        <v>0</v>
      </c>
      <c r="AU97" s="82">
        <f>AO97+AT97</f>
        <v>-8</v>
      </c>
      <c r="AV97" s="77">
        <v>160</v>
      </c>
      <c r="AW97" s="77">
        <v>160</v>
      </c>
      <c r="AX97" s="77"/>
      <c r="AY97" s="77">
        <f>AW97+AX97</f>
        <v>160</v>
      </c>
      <c r="AZ97" s="77">
        <f>AV97-AY97</f>
        <v>0</v>
      </c>
      <c r="BA97" s="77">
        <f>AU97+AZ97</f>
        <v>-8</v>
      </c>
      <c r="BB97" s="58">
        <v>160</v>
      </c>
      <c r="BC97" s="58"/>
      <c r="BD97" s="58"/>
      <c r="BE97" s="58">
        <v>0</v>
      </c>
      <c r="BF97" s="58">
        <v>160</v>
      </c>
      <c r="BG97" s="58">
        <v>960</v>
      </c>
      <c r="BH97" s="77">
        <v>160</v>
      </c>
      <c r="BI97" s="77"/>
      <c r="BJ97" s="77"/>
      <c r="BK97" s="77">
        <v>0</v>
      </c>
      <c r="BL97" s="77">
        <v>160</v>
      </c>
      <c r="BM97" s="77">
        <v>960</v>
      </c>
      <c r="BN97" s="80">
        <v>160</v>
      </c>
      <c r="BO97" s="80"/>
      <c r="BP97" s="80"/>
      <c r="BQ97" s="80">
        <v>0</v>
      </c>
      <c r="BR97" s="80">
        <v>160</v>
      </c>
      <c r="BS97" s="80">
        <v>960</v>
      </c>
    </row>
    <row r="98" spans="1:71" ht="15" customHeight="1">
      <c r="A98" s="47" t="s">
        <v>123</v>
      </c>
      <c r="B98" s="44" t="s">
        <v>130</v>
      </c>
      <c r="C98" s="48">
        <v>1083882650</v>
      </c>
      <c r="D98" s="50">
        <v>46055</v>
      </c>
      <c r="E98" s="50">
        <v>46154</v>
      </c>
      <c r="L98" s="58">
        <v>160</v>
      </c>
      <c r="M98" s="58">
        <v>160</v>
      </c>
      <c r="N98" s="58">
        <v>0</v>
      </c>
      <c r="O98" s="58">
        <f>M98+N98</f>
        <v>160</v>
      </c>
      <c r="P98" s="58">
        <f>L98-O98</f>
        <v>0</v>
      </c>
      <c r="Q98" s="65">
        <f>K98+P98</f>
        <v>0</v>
      </c>
      <c r="R98" s="61">
        <v>160</v>
      </c>
      <c r="S98" s="61">
        <v>160</v>
      </c>
      <c r="T98" s="61">
        <v>8</v>
      </c>
      <c r="U98" s="61">
        <f>S98+T98</f>
        <v>168</v>
      </c>
      <c r="V98" s="61">
        <f>R98-U98</f>
        <v>-8</v>
      </c>
      <c r="W98" s="72">
        <f>Q98+V98</f>
        <v>-8</v>
      </c>
      <c r="X98" s="70">
        <v>160</v>
      </c>
      <c r="Y98" s="70">
        <v>160</v>
      </c>
      <c r="Z98" s="70"/>
      <c r="AA98" s="70">
        <f>Y98+Z98</f>
        <v>160</v>
      </c>
      <c r="AB98" s="70">
        <f>X98-AA98</f>
        <v>0</v>
      </c>
      <c r="AC98" s="73">
        <f>W98+AB98</f>
        <v>-8</v>
      </c>
      <c r="AD98" s="77">
        <v>160</v>
      </c>
      <c r="AE98" s="77">
        <v>160</v>
      </c>
      <c r="AF98" s="77"/>
      <c r="AG98" s="77">
        <f>AE98+AF98</f>
        <v>160</v>
      </c>
      <c r="AH98" s="77">
        <f>AD98-AG98</f>
        <v>0</v>
      </c>
      <c r="AI98" s="84">
        <f>AC98+AH98</f>
        <v>-8</v>
      </c>
      <c r="AJ98" s="80">
        <v>160</v>
      </c>
      <c r="AK98" s="80">
        <v>160</v>
      </c>
      <c r="AL98" s="80"/>
      <c r="AM98" s="80">
        <f>AK98+AL98</f>
        <v>160</v>
      </c>
      <c r="AN98" s="80">
        <f>AJ98-AM98</f>
        <v>0</v>
      </c>
      <c r="AO98" s="80">
        <f>AI98+AN98</f>
        <v>-8</v>
      </c>
      <c r="AP98" s="82">
        <v>160</v>
      </c>
      <c r="AQ98" s="82">
        <v>160</v>
      </c>
      <c r="AR98" s="82"/>
      <c r="AS98" s="82">
        <f>AQ98+AR98</f>
        <v>160</v>
      </c>
      <c r="AT98" s="82">
        <f>AP98-AS98</f>
        <v>0</v>
      </c>
      <c r="AU98" s="82">
        <f>AO98+AT98</f>
        <v>-8</v>
      </c>
      <c r="AV98" s="77">
        <v>160</v>
      </c>
      <c r="AW98" s="77">
        <v>160</v>
      </c>
      <c r="AX98" s="77"/>
      <c r="AY98" s="77">
        <f>AW98+AX98</f>
        <v>160</v>
      </c>
      <c r="AZ98" s="77">
        <f>AV98-AY98</f>
        <v>0</v>
      </c>
      <c r="BA98" s="77">
        <f>AU98+AZ98</f>
        <v>-8</v>
      </c>
      <c r="BB98" s="58">
        <v>160</v>
      </c>
      <c r="BC98" s="58"/>
      <c r="BD98" s="58"/>
      <c r="BE98" s="58">
        <v>0</v>
      </c>
      <c r="BF98" s="58">
        <v>160</v>
      </c>
      <c r="BG98" s="58">
        <v>960</v>
      </c>
      <c r="BH98" s="77">
        <v>160</v>
      </c>
      <c r="BI98" s="77"/>
      <c r="BJ98" s="77"/>
      <c r="BK98" s="77">
        <v>0</v>
      </c>
      <c r="BL98" s="77">
        <v>160</v>
      </c>
      <c r="BM98" s="77">
        <v>960</v>
      </c>
      <c r="BN98" s="80">
        <v>160</v>
      </c>
      <c r="BO98" s="80"/>
      <c r="BP98" s="80"/>
      <c r="BQ98" s="80">
        <v>0</v>
      </c>
      <c r="BR98" s="80">
        <v>160</v>
      </c>
      <c r="BS98" s="80">
        <v>960</v>
      </c>
    </row>
    <row r="99" spans="1:71" ht="15" customHeight="1">
      <c r="A99" s="47" t="s">
        <v>123</v>
      </c>
      <c r="B99" s="44" t="s">
        <v>131</v>
      </c>
      <c r="C99" s="48">
        <v>1060802406</v>
      </c>
      <c r="D99" s="50">
        <v>46055</v>
      </c>
      <c r="E99" s="50">
        <v>46154</v>
      </c>
      <c r="L99" s="58">
        <v>160</v>
      </c>
      <c r="M99" s="58">
        <v>160</v>
      </c>
      <c r="N99" s="58">
        <v>0</v>
      </c>
      <c r="O99" s="58">
        <f>M99+N99</f>
        <v>160</v>
      </c>
      <c r="P99" s="58">
        <f>L99-O99</f>
        <v>0</v>
      </c>
      <c r="Q99" s="65">
        <f>K99+P99</f>
        <v>0</v>
      </c>
      <c r="R99" s="61">
        <v>160</v>
      </c>
      <c r="S99" s="61">
        <v>160</v>
      </c>
      <c r="T99" s="61">
        <v>8</v>
      </c>
      <c r="U99" s="61">
        <f>S99+T99</f>
        <v>168</v>
      </c>
      <c r="V99" s="61">
        <f>R99-U99</f>
        <v>-8</v>
      </c>
      <c r="W99" s="72">
        <f>Q99+V99</f>
        <v>-8</v>
      </c>
      <c r="X99" s="70">
        <v>160</v>
      </c>
      <c r="Y99" s="70">
        <v>160</v>
      </c>
      <c r="Z99" s="70"/>
      <c r="AA99" s="70">
        <f>Y99+Z99</f>
        <v>160</v>
      </c>
      <c r="AB99" s="70">
        <f>X99-AA99</f>
        <v>0</v>
      </c>
      <c r="AC99" s="73">
        <f>W99+AB99</f>
        <v>-8</v>
      </c>
      <c r="AD99" s="77">
        <v>160</v>
      </c>
      <c r="AE99" s="77">
        <v>160</v>
      </c>
      <c r="AF99" s="77"/>
      <c r="AG99" s="77">
        <f>AE99+AF99</f>
        <v>160</v>
      </c>
      <c r="AH99" s="77">
        <f>AD99-AG99</f>
        <v>0</v>
      </c>
      <c r="AI99" s="84">
        <f>AC99+AH99</f>
        <v>-8</v>
      </c>
      <c r="AJ99" s="80">
        <v>160</v>
      </c>
      <c r="AK99" s="80">
        <v>160</v>
      </c>
      <c r="AL99" s="80"/>
      <c r="AM99" s="80">
        <f>AK99+AL99</f>
        <v>160</v>
      </c>
      <c r="AN99" s="80">
        <f>AJ99-AM99</f>
        <v>0</v>
      </c>
      <c r="AO99" s="80">
        <f>AI99+AN99</f>
        <v>-8</v>
      </c>
      <c r="AP99" s="82">
        <v>160</v>
      </c>
      <c r="AQ99" s="82">
        <v>160</v>
      </c>
      <c r="AR99" s="82"/>
      <c r="AS99" s="82">
        <f>AQ99+AR99</f>
        <v>160</v>
      </c>
      <c r="AT99" s="82">
        <f>AP99-AS99</f>
        <v>0</v>
      </c>
      <c r="AU99" s="82">
        <f>AO99+AT99</f>
        <v>-8</v>
      </c>
      <c r="AV99" s="77">
        <v>160</v>
      </c>
      <c r="AW99" s="77">
        <v>160</v>
      </c>
      <c r="AX99" s="77"/>
      <c r="AY99" s="77">
        <f>AW99+AX99</f>
        <v>160</v>
      </c>
      <c r="AZ99" s="77">
        <f>AV99-AY99</f>
        <v>0</v>
      </c>
      <c r="BA99" s="77">
        <f>AU99+AZ99</f>
        <v>-8</v>
      </c>
      <c r="BB99" s="58">
        <v>160</v>
      </c>
      <c r="BC99" s="58"/>
      <c r="BD99" s="58"/>
      <c r="BE99" s="58">
        <v>0</v>
      </c>
      <c r="BF99" s="58">
        <v>160</v>
      </c>
      <c r="BG99" s="58">
        <v>960</v>
      </c>
      <c r="BH99" s="77">
        <v>160</v>
      </c>
      <c r="BI99" s="77"/>
      <c r="BJ99" s="77"/>
      <c r="BK99" s="77">
        <v>0</v>
      </c>
      <c r="BL99" s="77">
        <v>160</v>
      </c>
      <c r="BM99" s="77">
        <v>960</v>
      </c>
      <c r="BN99" s="80">
        <v>160</v>
      </c>
      <c r="BO99" s="80"/>
      <c r="BP99" s="80"/>
      <c r="BQ99" s="80">
        <v>0</v>
      </c>
      <c r="BR99" s="80">
        <v>160</v>
      </c>
      <c r="BS99" s="80">
        <v>960</v>
      </c>
    </row>
    <row r="100" spans="1:71" ht="15" customHeight="1">
      <c r="A100" s="47" t="s">
        <v>123</v>
      </c>
      <c r="B100" s="44" t="s">
        <v>132</v>
      </c>
      <c r="C100" s="48">
        <v>1061688880</v>
      </c>
      <c r="D100" s="50">
        <v>46055</v>
      </c>
      <c r="E100" s="50">
        <v>46154</v>
      </c>
      <c r="L100" s="58">
        <v>160</v>
      </c>
      <c r="M100" s="58">
        <v>160</v>
      </c>
      <c r="N100" s="58">
        <v>0</v>
      </c>
      <c r="O100" s="58">
        <f>M100+N100</f>
        <v>160</v>
      </c>
      <c r="P100" s="58">
        <f>L100-O100</f>
        <v>0</v>
      </c>
      <c r="Q100" s="65">
        <f>K100+P100</f>
        <v>0</v>
      </c>
      <c r="R100" s="61">
        <v>160</v>
      </c>
      <c r="S100" s="61">
        <v>160</v>
      </c>
      <c r="T100" s="61">
        <v>8</v>
      </c>
      <c r="U100" s="61">
        <f>S100+T100</f>
        <v>168</v>
      </c>
      <c r="V100" s="61">
        <f>R100-U100</f>
        <v>-8</v>
      </c>
      <c r="W100" s="72">
        <f>Q100+V100</f>
        <v>-8</v>
      </c>
      <c r="X100" s="70">
        <v>160</v>
      </c>
      <c r="Y100" s="70">
        <v>160</v>
      </c>
      <c r="Z100" s="70"/>
      <c r="AA100" s="70">
        <f>Y100+Z100</f>
        <v>160</v>
      </c>
      <c r="AB100" s="70">
        <f>X100-AA100</f>
        <v>0</v>
      </c>
      <c r="AC100" s="73">
        <f>W100+AB100</f>
        <v>-8</v>
      </c>
      <c r="AD100" s="77">
        <v>160</v>
      </c>
      <c r="AE100" s="77">
        <v>160</v>
      </c>
      <c r="AF100" s="77"/>
      <c r="AG100" s="77">
        <f>AE100+AF100</f>
        <v>160</v>
      </c>
      <c r="AH100" s="77">
        <f>AD100-AG100</f>
        <v>0</v>
      </c>
      <c r="AI100" s="84">
        <f>AC100+AH100</f>
        <v>-8</v>
      </c>
      <c r="AJ100" s="80">
        <v>160</v>
      </c>
      <c r="AK100" s="80">
        <v>160</v>
      </c>
      <c r="AL100" s="80"/>
      <c r="AM100" s="80">
        <f>AK100+AL100</f>
        <v>160</v>
      </c>
      <c r="AN100" s="80">
        <f>AJ100-AM100</f>
        <v>0</v>
      </c>
      <c r="AO100" s="80">
        <f>AI100+AN100</f>
        <v>-8</v>
      </c>
      <c r="AP100" s="82">
        <v>160</v>
      </c>
      <c r="AQ100" s="82">
        <v>160</v>
      </c>
      <c r="AR100" s="82"/>
      <c r="AS100" s="82">
        <f>AQ100+AR100</f>
        <v>160</v>
      </c>
      <c r="AT100" s="82">
        <f>AP100-AS100</f>
        <v>0</v>
      </c>
      <c r="AU100" s="82">
        <f>AO100+AT100</f>
        <v>-8</v>
      </c>
      <c r="AV100" s="77">
        <v>160</v>
      </c>
      <c r="AW100" s="77">
        <v>160</v>
      </c>
      <c r="AX100" s="77"/>
      <c r="AY100" s="77">
        <f>AW100+AX100</f>
        <v>160</v>
      </c>
      <c r="AZ100" s="77">
        <f>AV100-AY100</f>
        <v>0</v>
      </c>
      <c r="BA100" s="77">
        <f>AU100+AZ100</f>
        <v>-8</v>
      </c>
      <c r="BB100" s="58">
        <v>160</v>
      </c>
      <c r="BC100" s="58"/>
      <c r="BD100" s="58"/>
      <c r="BE100" s="58">
        <v>0</v>
      </c>
      <c r="BF100" s="58">
        <v>160</v>
      </c>
      <c r="BG100" s="58">
        <v>960</v>
      </c>
      <c r="BH100" s="77">
        <v>160</v>
      </c>
      <c r="BI100" s="77"/>
      <c r="BJ100" s="77"/>
      <c r="BK100" s="77">
        <v>0</v>
      </c>
      <c r="BL100" s="77">
        <v>160</v>
      </c>
      <c r="BM100" s="77">
        <v>960</v>
      </c>
      <c r="BN100" s="80">
        <v>160</v>
      </c>
      <c r="BO100" s="80"/>
      <c r="BP100" s="80"/>
      <c r="BQ100" s="80">
        <v>0</v>
      </c>
      <c r="BR100" s="80">
        <v>160</v>
      </c>
      <c r="BS100" s="80">
        <v>960</v>
      </c>
    </row>
    <row r="101" spans="1:71" ht="15" customHeight="1">
      <c r="A101" s="47" t="s">
        <v>123</v>
      </c>
      <c r="B101" s="44" t="s">
        <v>133</v>
      </c>
      <c r="C101" s="48">
        <v>4611649</v>
      </c>
      <c r="D101" s="50">
        <v>46055</v>
      </c>
      <c r="E101" s="50">
        <v>46154</v>
      </c>
      <c r="L101" s="58">
        <v>160</v>
      </c>
      <c r="M101" s="58">
        <v>160</v>
      </c>
      <c r="N101" s="58">
        <v>0</v>
      </c>
      <c r="O101" s="58">
        <f>M101+N101</f>
        <v>160</v>
      </c>
      <c r="P101" s="58">
        <f>L101-O101</f>
        <v>0</v>
      </c>
      <c r="Q101" s="65">
        <f>K101+P101</f>
        <v>0</v>
      </c>
      <c r="R101" s="61">
        <v>160</v>
      </c>
      <c r="S101" s="61">
        <v>160</v>
      </c>
      <c r="T101" s="61">
        <v>8</v>
      </c>
      <c r="U101" s="61">
        <f>S101+T101</f>
        <v>168</v>
      </c>
      <c r="V101" s="61">
        <f>R101-U101</f>
        <v>-8</v>
      </c>
      <c r="W101" s="72">
        <f>Q101+V101</f>
        <v>-8</v>
      </c>
      <c r="X101" s="70">
        <v>160</v>
      </c>
      <c r="Y101" s="70">
        <v>160</v>
      </c>
      <c r="Z101" s="70"/>
      <c r="AA101" s="70">
        <f>Y101+Z101</f>
        <v>160</v>
      </c>
      <c r="AB101" s="70">
        <f>X101-AA101</f>
        <v>0</v>
      </c>
      <c r="AC101" s="73">
        <f>W101+AB101</f>
        <v>-8</v>
      </c>
      <c r="AD101" s="77">
        <v>160</v>
      </c>
      <c r="AE101" s="77">
        <v>160</v>
      </c>
      <c r="AF101" s="77"/>
      <c r="AG101" s="77">
        <f>AE101+AF101</f>
        <v>160</v>
      </c>
      <c r="AH101" s="77">
        <f>AD101-AG101</f>
        <v>0</v>
      </c>
      <c r="AI101" s="84">
        <f>AC101+AH101</f>
        <v>-8</v>
      </c>
      <c r="AJ101" s="80">
        <v>160</v>
      </c>
      <c r="AK101" s="80">
        <v>160</v>
      </c>
      <c r="AL101" s="80"/>
      <c r="AM101" s="80">
        <f>AK101+AL101</f>
        <v>160</v>
      </c>
      <c r="AN101" s="80">
        <f>AJ101-AM101</f>
        <v>0</v>
      </c>
      <c r="AO101" s="80">
        <f>AI101+AN101</f>
        <v>-8</v>
      </c>
      <c r="AP101" s="82">
        <v>160</v>
      </c>
      <c r="AQ101" s="82">
        <v>160</v>
      </c>
      <c r="AR101" s="82"/>
      <c r="AS101" s="82">
        <f>AQ101+AR101</f>
        <v>160</v>
      </c>
      <c r="AT101" s="82">
        <f>AP101-AS101</f>
        <v>0</v>
      </c>
      <c r="AU101" s="82">
        <f>AO101+AT101</f>
        <v>-8</v>
      </c>
      <c r="AV101" s="77">
        <v>160</v>
      </c>
      <c r="AW101" s="77">
        <v>160</v>
      </c>
      <c r="AX101" s="77"/>
      <c r="AY101" s="77">
        <f>AW101+AX101</f>
        <v>160</v>
      </c>
      <c r="AZ101" s="77">
        <f>AV101-AY101</f>
        <v>0</v>
      </c>
      <c r="BA101" s="77">
        <f>AU101+AZ101</f>
        <v>-8</v>
      </c>
      <c r="BB101" s="58">
        <v>160</v>
      </c>
      <c r="BC101" s="58"/>
      <c r="BD101" s="58"/>
      <c r="BE101" s="58">
        <v>0</v>
      </c>
      <c r="BF101" s="58">
        <v>160</v>
      </c>
      <c r="BG101" s="58">
        <v>960</v>
      </c>
      <c r="BH101" s="77">
        <v>160</v>
      </c>
      <c r="BI101" s="77"/>
      <c r="BJ101" s="77"/>
      <c r="BK101" s="77">
        <v>0</v>
      </c>
      <c r="BL101" s="77">
        <v>160</v>
      </c>
      <c r="BM101" s="77">
        <v>960</v>
      </c>
      <c r="BN101" s="80">
        <v>160</v>
      </c>
      <c r="BO101" s="80"/>
      <c r="BP101" s="80"/>
      <c r="BQ101" s="80">
        <v>0</v>
      </c>
      <c r="BR101" s="80">
        <v>160</v>
      </c>
      <c r="BS101" s="80">
        <v>960</v>
      </c>
    </row>
    <row r="102" spans="1:71" ht="15" customHeight="1">
      <c r="A102" s="47" t="s">
        <v>123</v>
      </c>
      <c r="B102" s="44" t="s">
        <v>134</v>
      </c>
      <c r="C102" s="48">
        <v>14837652</v>
      </c>
      <c r="D102" s="50">
        <v>46055</v>
      </c>
      <c r="E102" s="50">
        <v>46154</v>
      </c>
      <c r="L102" s="58">
        <v>160</v>
      </c>
      <c r="M102" s="58">
        <v>160</v>
      </c>
      <c r="N102" s="58">
        <v>0</v>
      </c>
      <c r="O102" s="58">
        <f>M102+N102</f>
        <v>160</v>
      </c>
      <c r="P102" s="58">
        <f>L102-O102</f>
        <v>0</v>
      </c>
      <c r="Q102" s="65">
        <f>K102+P102</f>
        <v>0</v>
      </c>
      <c r="R102" s="61">
        <v>160</v>
      </c>
      <c r="S102" s="61">
        <v>160</v>
      </c>
      <c r="T102" s="61">
        <v>8</v>
      </c>
      <c r="U102" s="61">
        <f>S102+T102</f>
        <v>168</v>
      </c>
      <c r="V102" s="61">
        <f>R102-U102</f>
        <v>-8</v>
      </c>
      <c r="W102" s="72">
        <f>Q102+V102</f>
        <v>-8</v>
      </c>
      <c r="X102" s="70">
        <v>160</v>
      </c>
      <c r="Y102" s="70">
        <v>160</v>
      </c>
      <c r="Z102" s="70"/>
      <c r="AA102" s="70">
        <f>Y102+Z102</f>
        <v>160</v>
      </c>
      <c r="AB102" s="70">
        <f>X102-AA102</f>
        <v>0</v>
      </c>
      <c r="AC102" s="73">
        <f>W102+AB102</f>
        <v>-8</v>
      </c>
      <c r="AD102" s="77">
        <v>160</v>
      </c>
      <c r="AE102" s="77">
        <v>160</v>
      </c>
      <c r="AF102" s="77"/>
      <c r="AG102" s="77">
        <f>AE102+AF102</f>
        <v>160</v>
      </c>
      <c r="AH102" s="77">
        <f>AD102-AG102</f>
        <v>0</v>
      </c>
      <c r="AI102" s="84">
        <f>AC102+AH102</f>
        <v>-8</v>
      </c>
      <c r="AJ102" s="80">
        <v>160</v>
      </c>
      <c r="AK102" s="80">
        <v>160</v>
      </c>
      <c r="AL102" s="80"/>
      <c r="AM102" s="80">
        <f>AK102+AL102</f>
        <v>160</v>
      </c>
      <c r="AN102" s="80">
        <f>AJ102-AM102</f>
        <v>0</v>
      </c>
      <c r="AO102" s="80">
        <f>AI102+AN102</f>
        <v>-8</v>
      </c>
      <c r="AP102" s="82">
        <v>160</v>
      </c>
      <c r="AQ102" s="82">
        <v>160</v>
      </c>
      <c r="AR102" s="82"/>
      <c r="AS102" s="82">
        <f>AQ102+AR102</f>
        <v>160</v>
      </c>
      <c r="AT102" s="82">
        <f>AP102-AS102</f>
        <v>0</v>
      </c>
      <c r="AU102" s="82">
        <f>AO102+AT102</f>
        <v>-8</v>
      </c>
      <c r="AV102" s="77">
        <v>160</v>
      </c>
      <c r="AW102" s="77">
        <v>160</v>
      </c>
      <c r="AX102" s="77"/>
      <c r="AY102" s="77">
        <f>AW102+AX102</f>
        <v>160</v>
      </c>
      <c r="AZ102" s="77">
        <f>AV102-AY102</f>
        <v>0</v>
      </c>
      <c r="BA102" s="77">
        <f>AU102+AZ102</f>
        <v>-8</v>
      </c>
      <c r="BB102" s="58">
        <v>160</v>
      </c>
      <c r="BC102" s="58"/>
      <c r="BD102" s="58"/>
      <c r="BE102" s="58">
        <v>0</v>
      </c>
      <c r="BF102" s="58">
        <v>160</v>
      </c>
      <c r="BG102" s="58">
        <v>960</v>
      </c>
      <c r="BH102" s="77">
        <v>160</v>
      </c>
      <c r="BI102" s="77"/>
      <c r="BJ102" s="77"/>
      <c r="BK102" s="77">
        <v>0</v>
      </c>
      <c r="BL102" s="77">
        <v>160</v>
      </c>
      <c r="BM102" s="77">
        <v>960</v>
      </c>
      <c r="BN102" s="80">
        <v>160</v>
      </c>
      <c r="BO102" s="80"/>
      <c r="BP102" s="80"/>
      <c r="BQ102" s="80">
        <v>0</v>
      </c>
      <c r="BR102" s="80">
        <v>160</v>
      </c>
      <c r="BS102" s="80">
        <v>960</v>
      </c>
    </row>
    <row r="103" spans="1:71" ht="15" customHeight="1">
      <c r="A103" s="47" t="s">
        <v>123</v>
      </c>
      <c r="B103" s="44" t="s">
        <v>135</v>
      </c>
      <c r="C103" s="48">
        <v>25280510</v>
      </c>
      <c r="D103" s="50">
        <v>46055</v>
      </c>
      <c r="E103" s="50">
        <v>46154</v>
      </c>
      <c r="L103" s="58">
        <v>160</v>
      </c>
      <c r="M103" s="58">
        <v>160</v>
      </c>
      <c r="N103" s="58">
        <v>0</v>
      </c>
      <c r="O103" s="58">
        <f>M103+N103</f>
        <v>160</v>
      </c>
      <c r="P103" s="58">
        <f>L103-O103</f>
        <v>0</v>
      </c>
      <c r="Q103" s="65">
        <f>K103+P103</f>
        <v>0</v>
      </c>
      <c r="R103" s="61">
        <v>160</v>
      </c>
      <c r="S103" s="61">
        <v>160</v>
      </c>
      <c r="T103" s="61">
        <v>8</v>
      </c>
      <c r="U103" s="61">
        <f>S103+T103</f>
        <v>168</v>
      </c>
      <c r="V103" s="61">
        <f>R103-U103</f>
        <v>-8</v>
      </c>
      <c r="W103" s="72">
        <f>Q103+V103</f>
        <v>-8</v>
      </c>
      <c r="X103" s="70">
        <v>160</v>
      </c>
      <c r="Y103" s="70">
        <v>160</v>
      </c>
      <c r="Z103" s="70"/>
      <c r="AA103" s="70">
        <f>Y103+Z103</f>
        <v>160</v>
      </c>
      <c r="AB103" s="70">
        <f>X103-AA103</f>
        <v>0</v>
      </c>
      <c r="AC103" s="73">
        <f>W103+AB103</f>
        <v>-8</v>
      </c>
      <c r="AD103" s="77">
        <v>160</v>
      </c>
      <c r="AE103" s="77">
        <v>160</v>
      </c>
      <c r="AF103" s="77"/>
      <c r="AG103" s="77">
        <f>AE103+AF103</f>
        <v>160</v>
      </c>
      <c r="AH103" s="77">
        <f>AD103-AG103</f>
        <v>0</v>
      </c>
      <c r="AI103" s="84">
        <f>AC103+AH103</f>
        <v>-8</v>
      </c>
      <c r="AJ103" s="80">
        <v>160</v>
      </c>
      <c r="AK103" s="80">
        <v>160</v>
      </c>
      <c r="AL103" s="80"/>
      <c r="AM103" s="80">
        <f>AK103+AL103</f>
        <v>160</v>
      </c>
      <c r="AN103" s="80">
        <f>AJ103-AM103</f>
        <v>0</v>
      </c>
      <c r="AO103" s="80">
        <f>AI103+AN103</f>
        <v>-8</v>
      </c>
      <c r="AP103" s="82">
        <v>160</v>
      </c>
      <c r="AQ103" s="82">
        <v>160</v>
      </c>
      <c r="AR103" s="82"/>
      <c r="AS103" s="82">
        <f>AQ103+AR103</f>
        <v>160</v>
      </c>
      <c r="AT103" s="82">
        <f>AP103-AS103</f>
        <v>0</v>
      </c>
      <c r="AU103" s="82">
        <f>AO103+AT103</f>
        <v>-8</v>
      </c>
      <c r="AV103" s="77">
        <v>160</v>
      </c>
      <c r="AW103" s="77">
        <v>160</v>
      </c>
      <c r="AX103" s="77"/>
      <c r="AY103" s="77">
        <f>AW103+AX103</f>
        <v>160</v>
      </c>
      <c r="AZ103" s="77">
        <f>AV103-AY103</f>
        <v>0</v>
      </c>
      <c r="BA103" s="77">
        <f>AU103+AZ103</f>
        <v>-8</v>
      </c>
      <c r="BB103" s="58">
        <v>160</v>
      </c>
      <c r="BC103" s="58"/>
      <c r="BD103" s="58"/>
      <c r="BE103" s="58">
        <v>0</v>
      </c>
      <c r="BF103" s="58">
        <v>160</v>
      </c>
      <c r="BG103" s="58">
        <v>960</v>
      </c>
      <c r="BH103" s="77">
        <v>160</v>
      </c>
      <c r="BI103" s="77"/>
      <c r="BJ103" s="77"/>
      <c r="BK103" s="77">
        <v>0</v>
      </c>
      <c r="BL103" s="77">
        <v>160</v>
      </c>
      <c r="BM103" s="77">
        <v>960</v>
      </c>
      <c r="BN103" s="80">
        <v>160</v>
      </c>
      <c r="BO103" s="80"/>
      <c r="BP103" s="80"/>
      <c r="BQ103" s="80">
        <v>0</v>
      </c>
      <c r="BR103" s="80">
        <v>160</v>
      </c>
      <c r="BS103" s="80">
        <v>960</v>
      </c>
    </row>
    <row r="104" spans="1:71" ht="15" customHeight="1">
      <c r="A104" s="47" t="s">
        <v>123</v>
      </c>
      <c r="B104" s="45" t="s">
        <v>136</v>
      </c>
      <c r="C104" s="48">
        <v>34321183</v>
      </c>
      <c r="D104" s="50">
        <v>46055</v>
      </c>
      <c r="E104" s="50">
        <v>46154</v>
      </c>
      <c r="L104" s="58">
        <v>160</v>
      </c>
      <c r="M104" s="58">
        <v>160</v>
      </c>
      <c r="N104" s="58">
        <v>0</v>
      </c>
      <c r="O104" s="58">
        <f>M104+N104</f>
        <v>160</v>
      </c>
      <c r="P104" s="58">
        <f>L104-O104</f>
        <v>0</v>
      </c>
      <c r="Q104" s="65">
        <f>K104+P104</f>
        <v>0</v>
      </c>
      <c r="R104" s="61">
        <v>160</v>
      </c>
      <c r="S104" s="61">
        <v>160</v>
      </c>
      <c r="T104" s="61">
        <v>8</v>
      </c>
      <c r="U104" s="61">
        <f>S104+T104</f>
        <v>168</v>
      </c>
      <c r="V104" s="61">
        <f>R104-U104</f>
        <v>-8</v>
      </c>
      <c r="W104" s="72">
        <f>Q104+V104</f>
        <v>-8</v>
      </c>
      <c r="X104" s="70">
        <v>160</v>
      </c>
      <c r="Y104" s="70">
        <v>160</v>
      </c>
      <c r="Z104" s="70"/>
      <c r="AA104" s="70">
        <f>Y104+Z104</f>
        <v>160</v>
      </c>
      <c r="AB104" s="70">
        <f>X104-AA104</f>
        <v>0</v>
      </c>
      <c r="AC104" s="73">
        <f>W104+AB104</f>
        <v>-8</v>
      </c>
      <c r="AD104" s="77">
        <v>160</v>
      </c>
      <c r="AE104" s="77">
        <v>160</v>
      </c>
      <c r="AF104" s="77"/>
      <c r="AG104" s="77">
        <f>AE104+AF104</f>
        <v>160</v>
      </c>
      <c r="AH104" s="77">
        <f>AD104-AG104</f>
        <v>0</v>
      </c>
      <c r="AI104" s="84">
        <f>AC104+AH104</f>
        <v>-8</v>
      </c>
      <c r="AJ104" s="80">
        <v>160</v>
      </c>
      <c r="AK104" s="80">
        <v>160</v>
      </c>
      <c r="AL104" s="80"/>
      <c r="AM104" s="80">
        <f>AK104+AL104</f>
        <v>160</v>
      </c>
      <c r="AN104" s="80">
        <f>AJ104-AM104</f>
        <v>0</v>
      </c>
      <c r="AO104" s="80">
        <f>AI104+AN104</f>
        <v>-8</v>
      </c>
      <c r="AP104" s="82">
        <v>160</v>
      </c>
      <c r="AQ104" s="82">
        <v>160</v>
      </c>
      <c r="AR104" s="82"/>
      <c r="AS104" s="82">
        <f>AQ104+AR104</f>
        <v>160</v>
      </c>
      <c r="AT104" s="82">
        <f>AP104-AS104</f>
        <v>0</v>
      </c>
      <c r="AU104" s="82">
        <f>AO104+AT104</f>
        <v>-8</v>
      </c>
      <c r="AV104" s="77">
        <v>160</v>
      </c>
      <c r="AW104" s="77">
        <v>160</v>
      </c>
      <c r="AX104" s="77"/>
      <c r="AY104" s="77">
        <f>AW104+AX104</f>
        <v>160</v>
      </c>
      <c r="AZ104" s="77">
        <f>AV104-AY104</f>
        <v>0</v>
      </c>
      <c r="BA104" s="77">
        <f>AU104+AZ104</f>
        <v>-8</v>
      </c>
      <c r="BB104" s="58">
        <v>160</v>
      </c>
      <c r="BC104" s="58"/>
      <c r="BD104" s="58"/>
      <c r="BE104" s="58">
        <v>0</v>
      </c>
      <c r="BF104" s="58">
        <v>160</v>
      </c>
      <c r="BG104" s="58">
        <v>960</v>
      </c>
      <c r="BH104" s="77">
        <v>160</v>
      </c>
      <c r="BI104" s="77"/>
      <c r="BJ104" s="77"/>
      <c r="BK104" s="77">
        <v>0</v>
      </c>
      <c r="BL104" s="77">
        <v>160</v>
      </c>
      <c r="BM104" s="77">
        <v>960</v>
      </c>
      <c r="BN104" s="80">
        <v>160</v>
      </c>
      <c r="BO104" s="80"/>
      <c r="BP104" s="80"/>
      <c r="BQ104" s="80">
        <v>0</v>
      </c>
      <c r="BR104" s="80">
        <v>160</v>
      </c>
      <c r="BS104" s="80">
        <v>960</v>
      </c>
    </row>
    <row r="105" spans="1:71" ht="15" customHeight="1">
      <c r="A105" s="47" t="s">
        <v>123</v>
      </c>
      <c r="B105" s="45" t="s">
        <v>137</v>
      </c>
      <c r="C105" s="48">
        <v>16510862</v>
      </c>
      <c r="D105" s="50">
        <v>46055</v>
      </c>
      <c r="E105" s="44" t="s">
        <v>138</v>
      </c>
      <c r="L105" s="58">
        <v>160</v>
      </c>
      <c r="M105" s="58">
        <v>160</v>
      </c>
      <c r="N105" s="58">
        <v>0</v>
      </c>
      <c r="O105" s="58">
        <f>M105+N105</f>
        <v>160</v>
      </c>
      <c r="P105" s="58">
        <f>L105-O105</f>
        <v>0</v>
      </c>
      <c r="Q105" s="65">
        <f>K105+P105</f>
        <v>0</v>
      </c>
      <c r="R105" s="61">
        <v>160</v>
      </c>
      <c r="S105" s="61">
        <v>160</v>
      </c>
      <c r="T105" s="61">
        <v>8</v>
      </c>
      <c r="U105" s="61">
        <f>S105+T105</f>
        <v>168</v>
      </c>
      <c r="V105" s="61">
        <f>R105-U105</f>
        <v>-8</v>
      </c>
      <c r="W105" s="72">
        <f>Q105+V105</f>
        <v>-8</v>
      </c>
      <c r="X105" s="70">
        <v>160</v>
      </c>
      <c r="Y105" s="70">
        <v>160</v>
      </c>
      <c r="Z105" s="70"/>
      <c r="AA105" s="70">
        <f>Y105+Z105</f>
        <v>160</v>
      </c>
      <c r="AB105" s="70">
        <f>X105-AA105</f>
        <v>0</v>
      </c>
      <c r="AC105" s="73">
        <f>W105+AB105</f>
        <v>-8</v>
      </c>
      <c r="AD105" s="77">
        <v>160</v>
      </c>
      <c r="AE105" s="77">
        <v>160</v>
      </c>
      <c r="AF105" s="77"/>
      <c r="AG105" s="77">
        <f>AE105+AF105</f>
        <v>160</v>
      </c>
      <c r="AH105" s="77">
        <f>AD105-AG105</f>
        <v>0</v>
      </c>
      <c r="AI105" s="84">
        <f>AC105+AH105</f>
        <v>-8</v>
      </c>
      <c r="AJ105" s="80">
        <v>160</v>
      </c>
      <c r="AK105" s="80">
        <v>160</v>
      </c>
      <c r="AL105" s="80"/>
      <c r="AM105" s="80">
        <f>AK105+AL105</f>
        <v>160</v>
      </c>
      <c r="AN105" s="80">
        <f>AJ105-AM105</f>
        <v>0</v>
      </c>
      <c r="AO105" s="80">
        <f>AI105+AN105</f>
        <v>-8</v>
      </c>
      <c r="AP105" s="82">
        <v>160</v>
      </c>
      <c r="AQ105" s="82">
        <v>160</v>
      </c>
      <c r="AR105" s="82"/>
      <c r="AS105" s="82">
        <f>AQ105+AR105</f>
        <v>160</v>
      </c>
      <c r="AT105" s="82">
        <f>AP105-AS105</f>
        <v>0</v>
      </c>
      <c r="AU105" s="82">
        <f>AO105+AT105</f>
        <v>-8</v>
      </c>
      <c r="AV105" s="77">
        <v>160</v>
      </c>
      <c r="AW105" s="77">
        <v>160</v>
      </c>
      <c r="AX105" s="77"/>
      <c r="AY105" s="77">
        <f>AW105+AX105</f>
        <v>160</v>
      </c>
      <c r="AZ105" s="77">
        <f>AV105-AY105</f>
        <v>0</v>
      </c>
      <c r="BA105" s="77">
        <f>AU105+AZ105</f>
        <v>-8</v>
      </c>
      <c r="BB105" s="58">
        <v>160</v>
      </c>
      <c r="BC105" s="58"/>
      <c r="BD105" s="58"/>
      <c r="BE105" s="58">
        <v>0</v>
      </c>
      <c r="BF105" s="58">
        <v>160</v>
      </c>
      <c r="BG105" s="58">
        <v>960</v>
      </c>
      <c r="BH105" s="77">
        <v>160</v>
      </c>
      <c r="BI105" s="77"/>
      <c r="BJ105" s="77"/>
      <c r="BK105" s="77">
        <v>0</v>
      </c>
      <c r="BL105" s="77">
        <v>160</v>
      </c>
      <c r="BM105" s="77">
        <v>960</v>
      </c>
      <c r="BN105" s="80">
        <v>160</v>
      </c>
      <c r="BO105" s="80"/>
      <c r="BP105" s="80"/>
      <c r="BQ105" s="80">
        <v>0</v>
      </c>
      <c r="BR105" s="80">
        <v>160</v>
      </c>
      <c r="BS105" s="80">
        <v>960</v>
      </c>
    </row>
    <row r="106" spans="1:71" ht="15" customHeight="1">
      <c r="A106" s="47" t="s">
        <v>123</v>
      </c>
      <c r="B106" s="45" t="s">
        <v>139</v>
      </c>
      <c r="C106" s="48">
        <v>16510862</v>
      </c>
      <c r="D106" s="50">
        <v>46259</v>
      </c>
      <c r="E106" s="50">
        <v>46306</v>
      </c>
      <c r="L106" s="58">
        <v>160</v>
      </c>
      <c r="M106" s="58">
        <v>160</v>
      </c>
      <c r="N106" s="58">
        <v>0</v>
      </c>
      <c r="O106" s="58">
        <f>M106+N106</f>
        <v>160</v>
      </c>
      <c r="P106" s="58">
        <f>L106-O106</f>
        <v>0</v>
      </c>
      <c r="Q106" s="65">
        <f>K106+P106</f>
        <v>0</v>
      </c>
      <c r="R106" s="61">
        <v>160</v>
      </c>
      <c r="S106" s="61">
        <v>160</v>
      </c>
      <c r="T106" s="61">
        <v>8</v>
      </c>
      <c r="U106" s="61">
        <f>S106+T106</f>
        <v>168</v>
      </c>
      <c r="V106" s="61">
        <f>R106-U106</f>
        <v>-8</v>
      </c>
      <c r="W106" s="72">
        <f>Q106+V106</f>
        <v>-8</v>
      </c>
      <c r="X106" s="70">
        <v>160</v>
      </c>
      <c r="Y106" s="70">
        <v>160</v>
      </c>
      <c r="Z106" s="70"/>
      <c r="AA106" s="70">
        <f>Y106+Z106</f>
        <v>160</v>
      </c>
      <c r="AB106" s="70">
        <f>X106-AA106</f>
        <v>0</v>
      </c>
      <c r="AC106" s="73">
        <f>W106+AB106</f>
        <v>-8</v>
      </c>
      <c r="AD106" s="77">
        <v>160</v>
      </c>
      <c r="AE106" s="77">
        <v>152</v>
      </c>
      <c r="AF106" s="77"/>
      <c r="AG106" s="77">
        <f>AE106+AF106</f>
        <v>152</v>
      </c>
      <c r="AH106" s="77">
        <f>AD106-AG106</f>
        <v>8</v>
      </c>
      <c r="AI106" s="84">
        <f>AC106+AH106</f>
        <v>0</v>
      </c>
      <c r="AJ106" s="80">
        <v>160</v>
      </c>
      <c r="AK106" s="80"/>
      <c r="AL106" s="80"/>
      <c r="AM106" s="80">
        <f>AK106+AL106</f>
        <v>0</v>
      </c>
      <c r="AN106" s="80">
        <v>0</v>
      </c>
      <c r="AO106" s="80">
        <f>AI106+AN106</f>
        <v>0</v>
      </c>
      <c r="AP106" s="82">
        <v>32</v>
      </c>
      <c r="AQ106" s="82">
        <v>40</v>
      </c>
      <c r="AR106" s="82"/>
      <c r="AS106" s="82">
        <v>40</v>
      </c>
      <c r="AT106" s="82">
        <f>AP106-AS106</f>
        <v>-8</v>
      </c>
      <c r="AU106" s="82">
        <f>AT106</f>
        <v>-8</v>
      </c>
      <c r="AV106" s="77">
        <v>160</v>
      </c>
      <c r="AW106" s="77">
        <v>160</v>
      </c>
      <c r="AX106" s="77"/>
      <c r="AY106" s="77">
        <f>AW106+AX106</f>
        <v>160</v>
      </c>
      <c r="AZ106" s="77">
        <f>AV106-AY106</f>
        <v>0</v>
      </c>
      <c r="BA106" s="77">
        <f>AU106+AZ106</f>
        <v>-8</v>
      </c>
      <c r="BB106" s="58">
        <v>160</v>
      </c>
      <c r="BC106" s="58"/>
      <c r="BD106" s="58"/>
      <c r="BE106" s="58">
        <v>0</v>
      </c>
      <c r="BF106" s="58">
        <v>160</v>
      </c>
      <c r="BG106" s="58">
        <v>960</v>
      </c>
      <c r="BH106" s="77">
        <v>160</v>
      </c>
      <c r="BI106" s="77"/>
      <c r="BJ106" s="77"/>
      <c r="BK106" s="77">
        <v>0</v>
      </c>
      <c r="BL106" s="77">
        <v>160</v>
      </c>
      <c r="BM106" s="77">
        <v>960</v>
      </c>
      <c r="BN106" s="80">
        <v>160</v>
      </c>
      <c r="BO106" s="80"/>
      <c r="BP106" s="80"/>
      <c r="BQ106" s="80">
        <v>0</v>
      </c>
      <c r="BR106" s="80">
        <v>160</v>
      </c>
      <c r="BS106" s="80">
        <v>960</v>
      </c>
    </row>
    <row r="107" spans="1:71" ht="15" customHeight="1">
      <c r="A107" s="47" t="s">
        <v>123</v>
      </c>
      <c r="B107" s="45" t="s">
        <v>140</v>
      </c>
      <c r="C107" s="48">
        <v>34326219</v>
      </c>
      <c r="D107" s="50">
        <v>46259</v>
      </c>
      <c r="E107" s="50">
        <v>46306</v>
      </c>
      <c r="L107" s="58">
        <v>160</v>
      </c>
      <c r="M107" s="58"/>
      <c r="N107" s="58">
        <v>0</v>
      </c>
      <c r="O107" s="58">
        <f>M107+N107</f>
        <v>0</v>
      </c>
      <c r="P107" s="58">
        <f>L107-O107</f>
        <v>160</v>
      </c>
      <c r="Q107" s="65">
        <f>K107+P107</f>
        <v>160</v>
      </c>
      <c r="R107" s="61">
        <v>160</v>
      </c>
      <c r="S107" s="61"/>
      <c r="T107" s="61">
        <v>8</v>
      </c>
      <c r="U107" s="61">
        <f>S107+T107</f>
        <v>8</v>
      </c>
      <c r="V107" s="61">
        <f>R107-U107</f>
        <v>152</v>
      </c>
      <c r="W107" s="72">
        <f>Q107+V107</f>
        <v>312</v>
      </c>
      <c r="X107" s="70">
        <v>160</v>
      </c>
      <c r="Y107" s="70"/>
      <c r="Z107" s="70"/>
      <c r="AA107" s="70">
        <f>Y107+Z107</f>
        <v>0</v>
      </c>
      <c r="AB107" s="70">
        <f>X107-AA107</f>
        <v>160</v>
      </c>
      <c r="AC107" s="73">
        <f>W107+AB107</f>
        <v>472</v>
      </c>
      <c r="AD107" s="77">
        <v>160</v>
      </c>
      <c r="AE107" s="77"/>
      <c r="AF107" s="77"/>
      <c r="AG107" s="77">
        <f>AE107+AF107</f>
        <v>0</v>
      </c>
      <c r="AH107" s="77">
        <f>AD107-AG107</f>
        <v>160</v>
      </c>
      <c r="AI107" s="84">
        <f>AC107+AH107</f>
        <v>632</v>
      </c>
      <c r="AJ107" s="80">
        <v>160</v>
      </c>
      <c r="AK107" s="80"/>
      <c r="AL107" s="80"/>
      <c r="AM107" s="80">
        <f>AK107+AL107</f>
        <v>0</v>
      </c>
      <c r="AN107" s="80">
        <v>0</v>
      </c>
      <c r="AO107" s="128">
        <v>0</v>
      </c>
      <c r="AP107" s="82">
        <v>32</v>
      </c>
      <c r="AQ107" s="82">
        <v>32</v>
      </c>
      <c r="AR107" s="82"/>
      <c r="AS107" s="82">
        <f>AQ107+AR107</f>
        <v>32</v>
      </c>
      <c r="AT107" s="82">
        <f>AP107-AS107</f>
        <v>0</v>
      </c>
      <c r="AU107" s="82">
        <f>AT107</f>
        <v>0</v>
      </c>
      <c r="AV107" s="77">
        <v>160</v>
      </c>
      <c r="AW107" s="77"/>
      <c r="AX107" s="77"/>
      <c r="AY107" s="77">
        <f>AW107+AX107</f>
        <v>0</v>
      </c>
      <c r="AZ107" s="77">
        <f>AV107-AY107</f>
        <v>160</v>
      </c>
      <c r="BA107" s="77">
        <f>AU107+AZ107</f>
        <v>160</v>
      </c>
      <c r="BB107" s="58">
        <v>160</v>
      </c>
      <c r="BC107" s="58"/>
      <c r="BD107" s="58"/>
      <c r="BE107" s="58">
        <v>0</v>
      </c>
      <c r="BF107" s="58">
        <v>160</v>
      </c>
      <c r="BG107" s="58">
        <v>960</v>
      </c>
      <c r="BH107" s="77">
        <v>160</v>
      </c>
      <c r="BI107" s="77"/>
      <c r="BJ107" s="77"/>
      <c r="BK107" s="77">
        <v>0</v>
      </c>
      <c r="BL107" s="77">
        <v>160</v>
      </c>
      <c r="BM107" s="77">
        <v>960</v>
      </c>
      <c r="BN107" s="80">
        <v>160</v>
      </c>
      <c r="BO107" s="80"/>
      <c r="BP107" s="80"/>
      <c r="BQ107" s="80">
        <v>0</v>
      </c>
      <c r="BR107" s="80">
        <v>160</v>
      </c>
      <c r="BS107" s="80">
        <v>960</v>
      </c>
    </row>
    <row r="108" spans="1:71" ht="15" hidden="1" customHeight="1">
      <c r="A108" s="47" t="s">
        <v>123</v>
      </c>
      <c r="B108" s="46" t="s">
        <v>139</v>
      </c>
      <c r="C108" s="49">
        <v>1061770473</v>
      </c>
      <c r="D108" s="52">
        <v>46056</v>
      </c>
      <c r="E108" s="51" t="s">
        <v>141</v>
      </c>
      <c r="L108" s="58">
        <v>160</v>
      </c>
      <c r="M108" s="63">
        <v>160</v>
      </c>
      <c r="N108" s="58">
        <v>0</v>
      </c>
      <c r="O108" s="58">
        <f>M108+N108</f>
        <v>160</v>
      </c>
      <c r="P108" s="58">
        <f>L108-O108</f>
        <v>0</v>
      </c>
      <c r="Q108" s="65">
        <f>K108+P108</f>
        <v>0</v>
      </c>
      <c r="R108" s="61">
        <v>160</v>
      </c>
      <c r="S108" s="61">
        <v>0</v>
      </c>
      <c r="T108" s="61">
        <v>8</v>
      </c>
      <c r="U108" s="61">
        <f>S108+T108</f>
        <v>8</v>
      </c>
      <c r="V108" s="61">
        <f>R108-U108</f>
        <v>152</v>
      </c>
      <c r="W108" s="72">
        <f>Q108+V108</f>
        <v>152</v>
      </c>
      <c r="X108" s="70">
        <v>160</v>
      </c>
      <c r="Y108" s="70">
        <v>160</v>
      </c>
      <c r="Z108" s="70"/>
      <c r="AA108" s="70">
        <f>Y108+Z108</f>
        <v>160</v>
      </c>
      <c r="AB108" s="70">
        <f>X108-AA108</f>
        <v>0</v>
      </c>
      <c r="AC108" s="73">
        <f>W108+AB108</f>
        <v>152</v>
      </c>
      <c r="AD108" s="77">
        <v>160</v>
      </c>
      <c r="AE108" s="77">
        <v>144</v>
      </c>
      <c r="AF108" s="77"/>
      <c r="AG108" s="77">
        <f>AE108+AF108</f>
        <v>144</v>
      </c>
      <c r="AH108" s="77">
        <f>AD108-AG108</f>
        <v>16</v>
      </c>
      <c r="AI108" s="84">
        <f>AC108+AH108</f>
        <v>168</v>
      </c>
      <c r="AJ108" s="80"/>
      <c r="AK108" s="80"/>
      <c r="AL108" s="80"/>
      <c r="AM108" s="80"/>
      <c r="AN108" s="80"/>
      <c r="AO108" s="80"/>
      <c r="AP108" s="82">
        <v>160</v>
      </c>
      <c r="AQ108" s="82"/>
      <c r="AR108" s="82"/>
      <c r="AS108" s="82"/>
      <c r="AT108" s="82"/>
      <c r="AU108" s="82"/>
      <c r="AV108" s="77"/>
      <c r="AW108" s="77"/>
      <c r="AX108" s="77"/>
      <c r="AY108" s="77">
        <f>AW108+AX108</f>
        <v>0</v>
      </c>
      <c r="AZ108" s="77">
        <f>AV108-AY108</f>
        <v>0</v>
      </c>
      <c r="BA108" s="77">
        <f>AU108+AZ108</f>
        <v>0</v>
      </c>
      <c r="BB108" s="58">
        <v>160</v>
      </c>
      <c r="BC108" s="58"/>
      <c r="BD108" s="58"/>
      <c r="BE108" s="58">
        <v>0</v>
      </c>
      <c r="BF108" s="58">
        <v>160</v>
      </c>
      <c r="BG108" s="58">
        <v>960</v>
      </c>
      <c r="BH108" s="77">
        <v>160</v>
      </c>
      <c r="BI108" s="77"/>
      <c r="BJ108" s="77"/>
      <c r="BK108" s="77">
        <v>0</v>
      </c>
      <c r="BL108" s="77">
        <v>160</v>
      </c>
      <c r="BM108" s="77">
        <v>960</v>
      </c>
      <c r="BN108" s="80">
        <v>160</v>
      </c>
      <c r="BO108" s="80"/>
      <c r="BP108" s="80"/>
      <c r="BQ108" s="80">
        <v>0</v>
      </c>
      <c r="BR108" s="80">
        <v>160</v>
      </c>
      <c r="BS108" s="80">
        <v>960</v>
      </c>
    </row>
    <row r="109" spans="1:71" ht="15" hidden="1" customHeight="1">
      <c r="A109" s="53" t="s">
        <v>123</v>
      </c>
      <c r="B109" s="53" t="s">
        <v>142</v>
      </c>
      <c r="C109" s="54">
        <v>34326219</v>
      </c>
      <c r="D109" s="55">
        <v>46056</v>
      </c>
      <c r="E109" s="56" t="s">
        <v>141</v>
      </c>
      <c r="L109" s="58">
        <v>152</v>
      </c>
      <c r="M109" s="63">
        <v>152</v>
      </c>
      <c r="N109" s="58">
        <v>0</v>
      </c>
      <c r="O109" s="58">
        <f>M109+N109</f>
        <v>152</v>
      </c>
      <c r="P109" s="58">
        <f>L109-O109</f>
        <v>0</v>
      </c>
      <c r="Q109" s="65">
        <f>K109+P109</f>
        <v>0</v>
      </c>
      <c r="R109" s="61">
        <v>160</v>
      </c>
      <c r="S109" s="61">
        <v>160</v>
      </c>
      <c r="T109" s="61">
        <v>8</v>
      </c>
      <c r="U109" s="61">
        <f>S109+T109</f>
        <v>168</v>
      </c>
      <c r="V109" s="61">
        <f>R109-U109</f>
        <v>-8</v>
      </c>
      <c r="W109" s="72">
        <f>Q109+V109</f>
        <v>-8</v>
      </c>
      <c r="X109" s="70">
        <v>160</v>
      </c>
      <c r="Y109" s="70">
        <v>160</v>
      </c>
      <c r="Z109" s="70"/>
      <c r="AA109" s="70">
        <f>Y109+Z109</f>
        <v>160</v>
      </c>
      <c r="AB109" s="70">
        <f>X109-AA109</f>
        <v>0</v>
      </c>
      <c r="AC109" s="73">
        <f>W109+AB109</f>
        <v>-8</v>
      </c>
      <c r="AD109" s="77">
        <v>160</v>
      </c>
      <c r="AE109" s="77">
        <v>168</v>
      </c>
      <c r="AF109" s="77"/>
      <c r="AG109" s="77">
        <f>AE109+AF109</f>
        <v>168</v>
      </c>
      <c r="AH109" s="77">
        <f>AD109-AG109</f>
        <v>-8</v>
      </c>
      <c r="AI109" s="84">
        <f>AC109+AH109</f>
        <v>-16</v>
      </c>
      <c r="AJ109" s="80"/>
      <c r="AK109" s="80"/>
      <c r="AL109" s="80"/>
      <c r="AM109" s="80"/>
      <c r="AN109" s="80"/>
      <c r="AO109" s="80"/>
      <c r="AP109" s="82">
        <v>160</v>
      </c>
      <c r="AQ109" s="82">
        <v>0</v>
      </c>
      <c r="AR109" s="82"/>
      <c r="AS109" s="82">
        <f>AQ109+AR109</f>
        <v>0</v>
      </c>
      <c r="AT109" s="82"/>
      <c r="AU109" s="82"/>
      <c r="AV109" s="77"/>
      <c r="AW109" s="77">
        <v>0</v>
      </c>
      <c r="AX109" s="77"/>
      <c r="AY109" s="77">
        <f>AW109+AX109</f>
        <v>0</v>
      </c>
      <c r="AZ109" s="77"/>
      <c r="BA109" s="77">
        <f>AU109+AZ109</f>
        <v>0</v>
      </c>
      <c r="BB109" s="58">
        <v>160</v>
      </c>
      <c r="BC109" s="58"/>
      <c r="BD109" s="58"/>
      <c r="BE109" s="58">
        <v>0</v>
      </c>
      <c r="BF109" s="58">
        <v>160</v>
      </c>
      <c r="BG109" s="58">
        <v>960</v>
      </c>
      <c r="BH109" s="77">
        <v>160</v>
      </c>
      <c r="BI109" s="77"/>
      <c r="BJ109" s="77"/>
      <c r="BK109" s="77">
        <v>0</v>
      </c>
      <c r="BL109" s="77">
        <v>160</v>
      </c>
      <c r="BM109" s="77">
        <v>960</v>
      </c>
      <c r="BN109" s="80">
        <v>160</v>
      </c>
      <c r="BO109" s="80"/>
      <c r="BP109" s="80"/>
      <c r="BQ109" s="80">
        <v>0</v>
      </c>
      <c r="BR109" s="80">
        <v>160</v>
      </c>
      <c r="BS109" s="80">
        <v>960</v>
      </c>
    </row>
    <row r="110" spans="1:71" ht="15" customHeight="1">
      <c r="A110" s="32" t="s">
        <v>143</v>
      </c>
      <c r="B110" s="32" t="s">
        <v>144</v>
      </c>
      <c r="C110" s="32"/>
      <c r="D110" s="32"/>
      <c r="E110" s="32"/>
      <c r="F110" s="32"/>
      <c r="G110" s="32"/>
      <c r="H110" s="32"/>
      <c r="I110" s="32"/>
      <c r="J110" s="32"/>
      <c r="K110" s="62"/>
      <c r="L110" s="58">
        <v>160</v>
      </c>
      <c r="M110" s="58">
        <v>126</v>
      </c>
      <c r="N110" s="58">
        <v>90</v>
      </c>
      <c r="O110" s="58">
        <f>M110+N110</f>
        <v>216</v>
      </c>
      <c r="P110" s="58">
        <f>L110-O110</f>
        <v>-56</v>
      </c>
      <c r="Q110" s="65">
        <f>K110+P110</f>
        <v>-56</v>
      </c>
      <c r="R110" s="61">
        <v>162</v>
      </c>
      <c r="S110" s="61">
        <v>54</v>
      </c>
      <c r="T110" s="61">
        <v>114</v>
      </c>
      <c r="U110" s="61">
        <f>S110+T110</f>
        <v>168</v>
      </c>
      <c r="V110" s="61">
        <f>R110-U110</f>
        <v>-6</v>
      </c>
      <c r="W110" s="72">
        <f>Q110+V110</f>
        <v>-62</v>
      </c>
      <c r="X110" s="70">
        <v>160</v>
      </c>
      <c r="Y110" s="70">
        <v>36</v>
      </c>
      <c r="Z110" s="70">
        <v>124</v>
      </c>
      <c r="AA110" s="70">
        <f>Y110+Z110</f>
        <v>160</v>
      </c>
      <c r="AB110" s="70">
        <f>X110-AA110</f>
        <v>0</v>
      </c>
      <c r="AC110" s="73">
        <f>W110+AB110</f>
        <v>-62</v>
      </c>
      <c r="AD110" s="77">
        <v>160</v>
      </c>
      <c r="AE110" s="77">
        <v>64</v>
      </c>
      <c r="AF110" s="77">
        <v>100</v>
      </c>
      <c r="AG110" s="77">
        <f>AE110+AF110</f>
        <v>164</v>
      </c>
      <c r="AH110" s="77">
        <f>AD110-AG110</f>
        <v>-4</v>
      </c>
      <c r="AI110" s="84">
        <f>AC110+AH110</f>
        <v>-66</v>
      </c>
      <c r="AJ110" s="80">
        <v>160</v>
      </c>
      <c r="AK110" s="80">
        <v>92</v>
      </c>
      <c r="AL110" s="80">
        <v>35</v>
      </c>
      <c r="AM110" s="80">
        <f>AK110+AL110</f>
        <v>127</v>
      </c>
      <c r="AN110" s="80">
        <f>AJ110-AM110</f>
        <v>33</v>
      </c>
      <c r="AO110" s="80">
        <f>AI110+AN110</f>
        <v>-33</v>
      </c>
      <c r="AP110" s="82">
        <v>160</v>
      </c>
      <c r="AQ110" s="82">
        <v>80</v>
      </c>
      <c r="AR110" s="82">
        <v>80</v>
      </c>
      <c r="AS110" s="82">
        <f>AQ110+AR110</f>
        <v>160</v>
      </c>
      <c r="AT110" s="82">
        <f>AP110-AS110</f>
        <v>0</v>
      </c>
      <c r="AU110" s="82">
        <f>AO110+AT110</f>
        <v>-33</v>
      </c>
      <c r="AV110" s="77">
        <v>160</v>
      </c>
      <c r="AW110" s="77">
        <v>88</v>
      </c>
      <c r="AX110" s="77">
        <v>65</v>
      </c>
      <c r="AY110" s="77">
        <f>AW110+AX110</f>
        <v>153</v>
      </c>
      <c r="AZ110" s="77">
        <f>AV110-AY110</f>
        <v>7</v>
      </c>
      <c r="BA110" s="77">
        <f>AU110+AZ110</f>
        <v>-26</v>
      </c>
      <c r="BB110" s="58">
        <v>160</v>
      </c>
      <c r="BC110" s="58"/>
      <c r="BD110" s="58"/>
      <c r="BE110" s="58">
        <v>0</v>
      </c>
      <c r="BF110" s="58">
        <v>160</v>
      </c>
      <c r="BG110" s="58">
        <v>960</v>
      </c>
      <c r="BH110" s="77">
        <v>160</v>
      </c>
      <c r="BI110" s="77"/>
      <c r="BJ110" s="77"/>
      <c r="BK110" s="77">
        <v>0</v>
      </c>
      <c r="BL110" s="77">
        <v>160</v>
      </c>
      <c r="BM110" s="77">
        <v>960</v>
      </c>
      <c r="BN110" s="80">
        <v>160</v>
      </c>
      <c r="BO110" s="80"/>
      <c r="BP110" s="80"/>
      <c r="BQ110" s="80">
        <v>0</v>
      </c>
      <c r="BR110" s="80">
        <v>160</v>
      </c>
      <c r="BS110" s="80">
        <v>960</v>
      </c>
    </row>
    <row r="111" spans="1:71" ht="15" customHeight="1">
      <c r="A111" s="32" t="s">
        <v>143</v>
      </c>
      <c r="B111" s="32" t="s">
        <v>145</v>
      </c>
      <c r="C111" s="32"/>
      <c r="D111" s="32"/>
      <c r="E111" s="32"/>
      <c r="F111" s="32"/>
      <c r="G111" s="32"/>
      <c r="H111" s="32"/>
      <c r="I111" s="32"/>
      <c r="J111" s="32"/>
      <c r="K111" s="62"/>
      <c r="L111" s="58">
        <v>160</v>
      </c>
      <c r="M111" s="58">
        <v>92</v>
      </c>
      <c r="N111" s="58">
        <v>106</v>
      </c>
      <c r="O111" s="58">
        <f>M111+N111</f>
        <v>198</v>
      </c>
      <c r="P111" s="58">
        <f>L111-O111</f>
        <v>-38</v>
      </c>
      <c r="Q111" s="65">
        <f>K111+P111</f>
        <v>-38</v>
      </c>
      <c r="R111" s="61">
        <v>162</v>
      </c>
      <c r="S111" s="61">
        <v>68</v>
      </c>
      <c r="T111" s="61">
        <v>94</v>
      </c>
      <c r="U111" s="61">
        <f>S111+T111</f>
        <v>162</v>
      </c>
      <c r="V111" s="61">
        <f>R111-U111</f>
        <v>0</v>
      </c>
      <c r="W111" s="72">
        <f>Q111+V111</f>
        <v>-38</v>
      </c>
      <c r="X111" s="70">
        <v>160</v>
      </c>
      <c r="Y111" s="70">
        <v>113</v>
      </c>
      <c r="Z111" s="70">
        <v>70</v>
      </c>
      <c r="AA111" s="70">
        <f>Y111+Z111</f>
        <v>183</v>
      </c>
      <c r="AB111" s="70">
        <f>X111-AA111</f>
        <v>-23</v>
      </c>
      <c r="AC111" s="73">
        <f>W111+AB111</f>
        <v>-61</v>
      </c>
      <c r="AD111" s="77">
        <v>160</v>
      </c>
      <c r="AE111" s="77">
        <v>74</v>
      </c>
      <c r="AF111" s="77">
        <v>91</v>
      </c>
      <c r="AG111" s="77">
        <f>AE111+AF111</f>
        <v>165</v>
      </c>
      <c r="AH111" s="77">
        <f>AD111-AG111</f>
        <v>-5</v>
      </c>
      <c r="AI111" s="84">
        <f>AC111+AH111</f>
        <v>-66</v>
      </c>
      <c r="AJ111" s="80">
        <v>160</v>
      </c>
      <c r="AK111" s="80">
        <v>69</v>
      </c>
      <c r="AL111" s="80">
        <v>98</v>
      </c>
      <c r="AM111" s="80">
        <f>AK111+AL111</f>
        <v>167</v>
      </c>
      <c r="AN111" s="80">
        <f>AJ111-AM111</f>
        <v>-7</v>
      </c>
      <c r="AO111" s="80">
        <f>AI111+AN111</f>
        <v>-73</v>
      </c>
      <c r="AP111" s="82">
        <v>160</v>
      </c>
      <c r="AQ111" s="82">
        <v>94</v>
      </c>
      <c r="AR111" s="82">
        <v>68</v>
      </c>
      <c r="AS111" s="82">
        <f>AQ111+AR111</f>
        <v>162</v>
      </c>
      <c r="AT111" s="82">
        <f>AP111-AS111</f>
        <v>-2</v>
      </c>
      <c r="AU111" s="82">
        <f>AO111+AT111</f>
        <v>-75</v>
      </c>
      <c r="AV111" s="77">
        <v>160</v>
      </c>
      <c r="AW111" s="77">
        <v>110</v>
      </c>
      <c r="AX111" s="77">
        <v>52</v>
      </c>
      <c r="AY111" s="77">
        <f>AW111+AX111</f>
        <v>162</v>
      </c>
      <c r="AZ111" s="77">
        <f>AV111-AY111</f>
        <v>-2</v>
      </c>
      <c r="BA111" s="77">
        <f>AU111+AZ111</f>
        <v>-77</v>
      </c>
      <c r="BB111" s="58">
        <v>160</v>
      </c>
      <c r="BC111" s="58"/>
      <c r="BD111" s="58"/>
      <c r="BE111" s="58">
        <v>0</v>
      </c>
      <c r="BF111" s="58">
        <v>160</v>
      </c>
      <c r="BG111" s="58">
        <v>960</v>
      </c>
      <c r="BH111" s="77">
        <v>160</v>
      </c>
      <c r="BI111" s="77"/>
      <c r="BJ111" s="77"/>
      <c r="BK111" s="77">
        <v>0</v>
      </c>
      <c r="BL111" s="77">
        <v>160</v>
      </c>
      <c r="BM111" s="77">
        <v>960</v>
      </c>
      <c r="BN111" s="80">
        <v>160</v>
      </c>
      <c r="BO111" s="80"/>
      <c r="BP111" s="80"/>
      <c r="BQ111" s="80">
        <v>0</v>
      </c>
      <c r="BR111" s="80">
        <v>160</v>
      </c>
      <c r="BS111" s="80">
        <v>960</v>
      </c>
    </row>
    <row r="112" spans="1:71" ht="15" customHeight="1">
      <c r="A112" s="32" t="s">
        <v>143</v>
      </c>
      <c r="B112" s="32" t="s">
        <v>146</v>
      </c>
      <c r="C112" s="32"/>
      <c r="D112" s="32"/>
      <c r="E112" s="32"/>
      <c r="F112" s="32"/>
      <c r="G112" s="32"/>
      <c r="H112" s="32"/>
      <c r="I112" s="32"/>
      <c r="J112" s="32"/>
      <c r="K112" s="62"/>
      <c r="L112" s="58">
        <v>160</v>
      </c>
      <c r="M112" s="58">
        <v>116</v>
      </c>
      <c r="N112" s="58">
        <v>80</v>
      </c>
      <c r="O112" s="58">
        <f>M112+N112</f>
        <v>196</v>
      </c>
      <c r="P112" s="58">
        <f>L112-O112</f>
        <v>-36</v>
      </c>
      <c r="Q112" s="65">
        <f>K112+P112</f>
        <v>-36</v>
      </c>
      <c r="R112" s="61">
        <v>162</v>
      </c>
      <c r="S112" s="61">
        <v>40</v>
      </c>
      <c r="T112" s="61"/>
      <c r="U112" s="61">
        <f>S112+T112</f>
        <v>40</v>
      </c>
      <c r="V112" s="61">
        <f>R112-U112</f>
        <v>122</v>
      </c>
      <c r="W112" s="72">
        <f>Q112+V112</f>
        <v>86</v>
      </c>
      <c r="X112" s="70">
        <v>160</v>
      </c>
      <c r="Y112" s="70">
        <v>88</v>
      </c>
      <c r="Z112" s="70">
        <v>44</v>
      </c>
      <c r="AA112" s="70">
        <f>Y112+Z112</f>
        <v>132</v>
      </c>
      <c r="AB112" s="70">
        <f>X112-AA112</f>
        <v>28</v>
      </c>
      <c r="AC112" s="73">
        <f>W112+AB112</f>
        <v>114</v>
      </c>
      <c r="AD112" s="77">
        <v>160</v>
      </c>
      <c r="AE112" s="77"/>
      <c r="AF112" s="77"/>
      <c r="AG112" s="77">
        <f>AE112+AF112</f>
        <v>0</v>
      </c>
      <c r="AH112" s="77">
        <f>AD112-AG112</f>
        <v>160</v>
      </c>
      <c r="AI112" s="84">
        <f>AC112+AH112</f>
        <v>274</v>
      </c>
      <c r="AJ112" s="80">
        <v>160</v>
      </c>
      <c r="AK112" s="80">
        <v>83</v>
      </c>
      <c r="AL112" s="80"/>
      <c r="AM112" s="80">
        <f>AK112+AL112</f>
        <v>83</v>
      </c>
      <c r="AN112" s="80">
        <f>AJ112-AM112</f>
        <v>77</v>
      </c>
      <c r="AO112" s="80">
        <f>AI112+AN112</f>
        <v>351</v>
      </c>
      <c r="AP112" s="82">
        <v>160</v>
      </c>
      <c r="AQ112" s="82"/>
      <c r="AR112" s="82"/>
      <c r="AS112" s="82">
        <f>AQ112+AR112</f>
        <v>0</v>
      </c>
      <c r="AT112" s="82">
        <f>AP112-AS112</f>
        <v>160</v>
      </c>
      <c r="AU112" s="82">
        <f>AO112+AT112</f>
        <v>511</v>
      </c>
      <c r="AV112" s="77">
        <v>160</v>
      </c>
      <c r="AW112" s="77">
        <v>93</v>
      </c>
      <c r="AX112" s="77"/>
      <c r="AY112" s="77">
        <f>AW112+AX112</f>
        <v>93</v>
      </c>
      <c r="AZ112" s="77">
        <f>AV112-AY112</f>
        <v>67</v>
      </c>
      <c r="BA112" s="77">
        <f>AU112+AZ112</f>
        <v>578</v>
      </c>
      <c r="BB112" s="58">
        <v>160</v>
      </c>
      <c r="BC112" s="58"/>
      <c r="BD112" s="58"/>
      <c r="BE112" s="58">
        <v>0</v>
      </c>
      <c r="BF112" s="58">
        <v>160</v>
      </c>
      <c r="BG112" s="58">
        <v>960</v>
      </c>
      <c r="BH112" s="77">
        <v>160</v>
      </c>
      <c r="BI112" s="77"/>
      <c r="BJ112" s="77"/>
      <c r="BK112" s="77">
        <v>0</v>
      </c>
      <c r="BL112" s="77">
        <v>160</v>
      </c>
      <c r="BM112" s="77">
        <v>960</v>
      </c>
      <c r="BN112" s="80">
        <v>160</v>
      </c>
      <c r="BO112" s="80"/>
      <c r="BP112" s="80"/>
      <c r="BQ112" s="80">
        <v>0</v>
      </c>
      <c r="BR112" s="80">
        <v>160</v>
      </c>
      <c r="BS112" s="80">
        <v>960</v>
      </c>
    </row>
    <row r="113" spans="1:71" ht="15" customHeight="1">
      <c r="A113" s="32" t="s">
        <v>143</v>
      </c>
      <c r="B113" s="32" t="s">
        <v>147</v>
      </c>
      <c r="C113" s="32"/>
      <c r="D113" s="32"/>
      <c r="E113" s="32"/>
      <c r="F113" s="32"/>
      <c r="G113" s="32"/>
      <c r="H113" s="32"/>
      <c r="I113" s="32"/>
      <c r="J113" s="32"/>
      <c r="K113" s="62"/>
      <c r="L113" s="58">
        <v>160</v>
      </c>
      <c r="M113" s="58">
        <v>120</v>
      </c>
      <c r="N113" s="58">
        <v>90</v>
      </c>
      <c r="O113" s="58">
        <f>M113+N113</f>
        <v>210</v>
      </c>
      <c r="P113" s="58">
        <f>L113-O113</f>
        <v>-50</v>
      </c>
      <c r="Q113" s="65">
        <f>K113+P113</f>
        <v>-50</v>
      </c>
      <c r="R113" s="61">
        <v>162</v>
      </c>
      <c r="S113" s="61">
        <v>107</v>
      </c>
      <c r="T113" s="61">
        <v>70</v>
      </c>
      <c r="U113" s="61">
        <f>S113+T113</f>
        <v>177</v>
      </c>
      <c r="V113" s="61">
        <f>R113-U113</f>
        <v>-15</v>
      </c>
      <c r="W113" s="72">
        <f>Q113+V113</f>
        <v>-65</v>
      </c>
      <c r="X113" s="70">
        <v>160</v>
      </c>
      <c r="Y113" s="70">
        <v>58</v>
      </c>
      <c r="Z113" s="70">
        <v>80</v>
      </c>
      <c r="AA113" s="70">
        <f>Y113+Z113</f>
        <v>138</v>
      </c>
      <c r="AB113" s="70">
        <f>X113-AA113</f>
        <v>22</v>
      </c>
      <c r="AC113" s="73">
        <f>W113+AB113</f>
        <v>-43</v>
      </c>
      <c r="AD113" s="77">
        <v>160</v>
      </c>
      <c r="AE113" s="77">
        <v>100</v>
      </c>
      <c r="AF113" s="77">
        <v>70</v>
      </c>
      <c r="AG113" s="77">
        <f>AE113+AF113</f>
        <v>170</v>
      </c>
      <c r="AH113" s="77">
        <f>AD113-AG113</f>
        <v>-10</v>
      </c>
      <c r="AI113" s="84">
        <f>AC113+AH113</f>
        <v>-53</v>
      </c>
      <c r="AJ113" s="80">
        <v>160</v>
      </c>
      <c r="AK113" s="80">
        <v>70</v>
      </c>
      <c r="AL113" s="80">
        <v>80</v>
      </c>
      <c r="AM113" s="80">
        <f>AK113+AL113</f>
        <v>150</v>
      </c>
      <c r="AN113" s="80">
        <f>AJ113-AM113</f>
        <v>10</v>
      </c>
      <c r="AO113" s="80">
        <f>AI113+AN113</f>
        <v>-43</v>
      </c>
      <c r="AP113" s="82">
        <v>160</v>
      </c>
      <c r="AQ113" s="82">
        <v>122</v>
      </c>
      <c r="AR113" s="82">
        <v>40</v>
      </c>
      <c r="AS113" s="82">
        <f>AQ113+AR113</f>
        <v>162</v>
      </c>
      <c r="AT113" s="82">
        <f>AP113-AS113</f>
        <v>-2</v>
      </c>
      <c r="AU113" s="82">
        <f>AO113+AT113</f>
        <v>-45</v>
      </c>
      <c r="AV113" s="77">
        <v>160</v>
      </c>
      <c r="AW113" s="77">
        <v>60</v>
      </c>
      <c r="AX113" s="77">
        <v>100</v>
      </c>
      <c r="AY113" s="77">
        <f>AW113+AX113</f>
        <v>160</v>
      </c>
      <c r="AZ113" s="77">
        <f>AV113-AY113</f>
        <v>0</v>
      </c>
      <c r="BA113" s="77">
        <f>AU113+AZ113</f>
        <v>-45</v>
      </c>
      <c r="BB113" s="58">
        <v>160</v>
      </c>
      <c r="BC113" s="58"/>
      <c r="BD113" s="58"/>
      <c r="BE113" s="58">
        <v>0</v>
      </c>
      <c r="BF113" s="58">
        <v>160</v>
      </c>
      <c r="BG113" s="58">
        <v>960</v>
      </c>
      <c r="BH113" s="77">
        <v>160</v>
      </c>
      <c r="BI113" s="77"/>
      <c r="BJ113" s="77"/>
      <c r="BK113" s="77">
        <v>0</v>
      </c>
      <c r="BL113" s="77">
        <v>160</v>
      </c>
      <c r="BM113" s="77">
        <v>960</v>
      </c>
      <c r="BN113" s="80">
        <v>160</v>
      </c>
      <c r="BO113" s="80"/>
      <c r="BP113" s="80"/>
      <c r="BQ113" s="80">
        <v>0</v>
      </c>
      <c r="BR113" s="80">
        <v>160</v>
      </c>
      <c r="BS113" s="80">
        <v>960</v>
      </c>
    </row>
    <row r="114" spans="1:71" ht="15" customHeight="1">
      <c r="A114" s="32" t="s">
        <v>143</v>
      </c>
      <c r="B114" s="32" t="s">
        <v>148</v>
      </c>
      <c r="C114" s="32"/>
      <c r="D114" s="32"/>
      <c r="E114" s="32"/>
      <c r="F114" s="32"/>
      <c r="G114" s="32"/>
      <c r="H114" s="32"/>
      <c r="I114" s="32"/>
      <c r="J114" s="32"/>
      <c r="K114" s="62"/>
      <c r="L114" s="58">
        <v>160</v>
      </c>
      <c r="M114" s="58">
        <v>102</v>
      </c>
      <c r="N114" s="58">
        <v>40</v>
      </c>
      <c r="O114" s="58">
        <f>M114+N114</f>
        <v>142</v>
      </c>
      <c r="P114" s="58">
        <f>L114-O114</f>
        <v>18</v>
      </c>
      <c r="Q114" s="65">
        <f>K114+P114</f>
        <v>18</v>
      </c>
      <c r="R114" s="61">
        <v>162</v>
      </c>
      <c r="S114" s="61">
        <v>105</v>
      </c>
      <c r="T114" s="61">
        <v>59</v>
      </c>
      <c r="U114" s="61">
        <f>S114+T114</f>
        <v>164</v>
      </c>
      <c r="V114" s="61">
        <f>R114-U114</f>
        <v>-2</v>
      </c>
      <c r="W114" s="72">
        <f>Q114+V114</f>
        <v>16</v>
      </c>
      <c r="X114" s="70">
        <v>160</v>
      </c>
      <c r="Y114" s="70">
        <v>91</v>
      </c>
      <c r="Z114" s="70">
        <v>43</v>
      </c>
      <c r="AA114" s="70">
        <f>Y114+Z114</f>
        <v>134</v>
      </c>
      <c r="AB114" s="70">
        <f>X114-AA114</f>
        <v>26</v>
      </c>
      <c r="AC114" s="73">
        <f>W114+AB114</f>
        <v>42</v>
      </c>
      <c r="AD114" s="77">
        <v>160</v>
      </c>
      <c r="AE114" s="77">
        <v>78</v>
      </c>
      <c r="AF114" s="77">
        <v>74</v>
      </c>
      <c r="AG114" s="77">
        <f>AE114+AF114</f>
        <v>152</v>
      </c>
      <c r="AH114" s="77">
        <f>AD114-AG114</f>
        <v>8</v>
      </c>
      <c r="AI114" s="84">
        <f>AC114+AH114</f>
        <v>50</v>
      </c>
      <c r="AJ114" s="80">
        <v>160</v>
      </c>
      <c r="AK114" s="80">
        <v>116</v>
      </c>
      <c r="AL114" s="80">
        <v>27</v>
      </c>
      <c r="AM114" s="80">
        <f>AK114+AL114</f>
        <v>143</v>
      </c>
      <c r="AN114" s="80">
        <f>AJ114-AM114</f>
        <v>17</v>
      </c>
      <c r="AO114" s="80">
        <f>AI114+AN114</f>
        <v>67</v>
      </c>
      <c r="AP114" s="82">
        <v>160</v>
      </c>
      <c r="AQ114" s="82">
        <v>70</v>
      </c>
      <c r="AR114" s="82">
        <v>30</v>
      </c>
      <c r="AS114" s="82">
        <f>AQ114+AR114</f>
        <v>100</v>
      </c>
      <c r="AT114" s="82">
        <f>AP114-AS114</f>
        <v>60</v>
      </c>
      <c r="AU114" s="82">
        <f>AO114+AT114</f>
        <v>127</v>
      </c>
      <c r="AV114" s="77">
        <v>160</v>
      </c>
      <c r="AW114" s="77">
        <v>122</v>
      </c>
      <c r="AX114" s="77">
        <v>43</v>
      </c>
      <c r="AY114" s="77">
        <f>AW114+AX114</f>
        <v>165</v>
      </c>
      <c r="AZ114" s="77">
        <f>AV114-AY114</f>
        <v>-5</v>
      </c>
      <c r="BA114" s="77">
        <f>AU114+AZ114</f>
        <v>122</v>
      </c>
      <c r="BB114" s="58">
        <v>160</v>
      </c>
      <c r="BC114" s="58"/>
      <c r="BD114" s="58"/>
      <c r="BE114" s="58">
        <v>0</v>
      </c>
      <c r="BF114" s="58">
        <v>160</v>
      </c>
      <c r="BG114" s="58">
        <v>960</v>
      </c>
      <c r="BH114" s="77">
        <v>160</v>
      </c>
      <c r="BI114" s="77"/>
      <c r="BJ114" s="77"/>
      <c r="BK114" s="77">
        <v>0</v>
      </c>
      <c r="BL114" s="77">
        <v>160</v>
      </c>
      <c r="BM114" s="77">
        <v>960</v>
      </c>
      <c r="BN114" s="80">
        <v>160</v>
      </c>
      <c r="BO114" s="80"/>
      <c r="BP114" s="80"/>
      <c r="BQ114" s="80">
        <v>0</v>
      </c>
      <c r="BR114" s="80">
        <v>160</v>
      </c>
      <c r="BS114" s="80">
        <v>960</v>
      </c>
    </row>
  </sheetData>
  <autoFilter ref="A2:CD114" xr:uid="{5BC835BA-2B29-4B93-B1F5-D63FC8BEF155}"/>
  <mergeCells count="11">
    <mergeCell ref="AJ1:AO1"/>
    <mergeCell ref="G1:K1"/>
    <mergeCell ref="L1:P1"/>
    <mergeCell ref="R1:V1"/>
    <mergeCell ref="X1:AC1"/>
    <mergeCell ref="AD1:AI1"/>
    <mergeCell ref="AP1:AU1"/>
    <mergeCell ref="AV1:AZ1"/>
    <mergeCell ref="BB1:BG1"/>
    <mergeCell ref="BH1:BM1"/>
    <mergeCell ref="BN1:B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Felipe Quiñonez</dc:creator>
  <cp:keywords/>
  <dc:description/>
  <cp:lastModifiedBy/>
  <cp:revision/>
  <dcterms:created xsi:type="dcterms:W3CDTF">2026-02-25T19:24:36Z</dcterms:created>
  <dcterms:modified xsi:type="dcterms:W3CDTF">2026-10-23T15:56:34Z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2026-02-25T19:35:30Z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5fded5cd-f487-4519-9a4d-588962140064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